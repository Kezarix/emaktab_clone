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Tracker" sheetId="2" state="visible" r:id="rId2"/>
    <sheet xmlns:r="http://schemas.openxmlformats.org/officeDocument/2006/relationships" name="Weekly Plan" sheetId="3" state="visible" r:id="rId3"/>
    <sheet xmlns:r="http://schemas.openxmlformats.org/officeDocument/2006/relationships" name="Monthly Mocks" sheetId="4" state="visible" r:id="rId4"/>
    <sheet xmlns:r="http://schemas.openxmlformats.org/officeDocument/2006/relationships" name="Deadlines" sheetId="5" state="visible" r:id="rId5"/>
  </sheets>
  <definedNames>
    <definedName name="_xlnm._FilterDatabase" localSheetId="1" hidden="1">'Daily Tracker'!$A$1:$O$120</definedName>
    <definedName name="_xlnm._FilterDatabase" localSheetId="2" hidden="1">'Weekly Plan'!$A$1:$G$18</definedName>
    <definedName name="_xlnm._FilterDatabase" localSheetId="3" hidden="1">'Monthly Mocks'!$A$1:$G$6</definedName>
    <definedName name="_xlnm._FilterDatabase" localSheetId="4" hidden="1">'Deadlines'!$A$1:$E$5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9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</cols>
  <sheetData>
    <row r="1">
      <c r="A1" s="1" t="inlineStr">
        <is>
          <t>FIRDAVS — STUDY + OLDINDAN DASHBOARD</t>
        </is>
      </c>
      <c r="B1" s="2" t="n"/>
      <c r="C1" s="2" t="n"/>
    </row>
    <row r="2">
      <c r="A2" s="2" t="n"/>
      <c r="B2" s="2" t="n"/>
      <c r="C2" s="2" t="n"/>
    </row>
    <row r="3">
      <c r="A3" s="2" t="inlineStr">
        <is>
          <t>Today</t>
        </is>
      </c>
      <c r="B3" s="3">
        <f>TODAY()</f>
        <v/>
      </c>
      <c r="C3" s="2" t="n"/>
    </row>
    <row r="4">
      <c r="A4" s="2" t="n"/>
      <c r="B4" s="2" t="n"/>
      <c r="C4" s="2" t="n"/>
    </row>
    <row r="5">
      <c r="A5" s="2" t="inlineStr">
        <is>
          <t>IELTS — Nov 8</t>
        </is>
      </c>
      <c r="B5" s="2">
        <f>MAX(0,DATE(2026,11,8)-TODAY())</f>
        <v/>
      </c>
      <c r="C5" s="2" t="inlineStr">
        <is>
          <t>days remaining</t>
        </is>
      </c>
    </row>
    <row r="6">
      <c r="A6" s="2" t="inlineStr">
        <is>
          <t>Project Test — Nov 1</t>
        </is>
      </c>
      <c r="B6" s="2">
        <f>MAX(0,DATE(2026,11,1)-TODAY())</f>
        <v/>
      </c>
      <c r="C6" s="2" t="inlineStr">
        <is>
          <t>days remaining</t>
        </is>
      </c>
    </row>
    <row r="7">
      <c r="A7" s="2" t="inlineStr">
        <is>
          <t>SAT — Dec 5</t>
        </is>
      </c>
      <c r="B7" s="2">
        <f>MAX(0,DATE(2026,12,5)-TODAY())</f>
        <v/>
      </c>
      <c r="C7" s="2" t="inlineStr">
        <is>
          <t>days remaining</t>
        </is>
      </c>
    </row>
    <row r="8">
      <c r="A8" s="2" t="inlineStr">
        <is>
          <t>Project Traction — Dec 20</t>
        </is>
      </c>
      <c r="B8" s="2">
        <f>MAX(0,DATE(2026,12,20)-TODAY())</f>
        <v/>
      </c>
      <c r="C8" s="2" t="inlineStr">
        <is>
          <t>days remaining</t>
        </is>
      </c>
    </row>
    <row r="9">
      <c r="A9" s="2" t="n"/>
      <c r="B9" s="2" t="n"/>
      <c r="C9" s="2" t="n"/>
    </row>
    <row r="10">
      <c r="A10" s="4" t="inlineStr">
        <is>
          <t>Daily schedule</t>
        </is>
      </c>
      <c r="B10" s="2" t="n"/>
      <c r="C10" s="2" t="n"/>
    </row>
    <row r="11">
      <c r="A11" s="2" t="inlineStr">
        <is>
          <t>SAT Math</t>
        </is>
      </c>
      <c r="B11" s="2" t="inlineStr">
        <is>
          <t>2:00</t>
        </is>
      </c>
      <c r="C11" s="2" t="n"/>
    </row>
    <row r="12">
      <c r="A12" s="2" t="inlineStr">
        <is>
          <t>SAT R&amp;W</t>
        </is>
      </c>
      <c r="B12" s="2" t="inlineStr">
        <is>
          <t>1:30</t>
        </is>
      </c>
      <c r="C12" s="2" t="n"/>
    </row>
    <row r="13">
      <c r="A13" s="2" t="inlineStr">
        <is>
          <t>IELTS Listening</t>
        </is>
      </c>
      <c r="B13" s="2" t="inlineStr">
        <is>
          <t>0:35</t>
        </is>
      </c>
      <c r="C13" s="2" t="n"/>
    </row>
    <row r="14">
      <c r="A14" s="2" t="inlineStr">
        <is>
          <t>IELTS Reading</t>
        </is>
      </c>
      <c r="B14" s="2" t="inlineStr">
        <is>
          <t>0:40</t>
        </is>
      </c>
      <c r="C14" s="2" t="n"/>
    </row>
    <row r="15">
      <c r="A15" s="2" t="inlineStr">
        <is>
          <t>IELTS Writing</t>
        </is>
      </c>
      <c r="B15" s="2" t="inlineStr">
        <is>
          <t>0:50</t>
        </is>
      </c>
      <c r="C15" s="2" t="n"/>
    </row>
    <row r="16">
      <c r="A16" s="2" t="inlineStr">
        <is>
          <t>IELTS Speaking</t>
        </is>
      </c>
      <c r="B16" s="2" t="inlineStr">
        <is>
          <t>0:25</t>
        </is>
      </c>
      <c r="C16" s="2" t="n"/>
    </row>
    <row r="17">
      <c r="A17" s="2" t="inlineStr">
        <is>
          <t>Project — Mon-Sat</t>
        </is>
      </c>
      <c r="B17" s="2" t="inlineStr">
        <is>
          <t>2:00</t>
        </is>
      </c>
      <c r="C17" s="2" t="n"/>
    </row>
    <row r="18">
      <c r="A18" s="2" t="inlineStr">
        <is>
          <t>Sunday SAT Full Mock</t>
        </is>
      </c>
      <c r="B18" s="2" t="inlineStr">
        <is>
          <t>3:30</t>
        </is>
      </c>
      <c r="C18" s="2" t="n"/>
    </row>
    <row r="19">
      <c r="A19" s="2" t="inlineStr">
        <is>
          <t>Sunday IELTS Full Mock</t>
        </is>
      </c>
      <c r="B19" s="2" t="inlineStr">
        <is>
          <t>3:00</t>
        </is>
      </c>
      <c r="C19" s="2" t="n"/>
    </row>
    <row r="20">
      <c r="A20" s="2" t="inlineStr">
        <is>
          <t>Sunday Project</t>
        </is>
      </c>
      <c r="B20" s="2" t="inlineStr">
        <is>
          <t>4:00</t>
        </is>
      </c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inlineStr">
        <is>
          <t>Rule</t>
        </is>
      </c>
      <c r="B23" s="2" t="inlineStr">
        <is>
          <t>Use TRUE/FALSE dropdowns as your daily checkboxes.</t>
        </is>
      </c>
      <c r="C23" s="2" t="n"/>
    </row>
    <row r="24">
      <c r="A24" s="2" t="inlineStr">
        <is>
          <t>Sunday</t>
        </is>
      </c>
      <c r="B24" s="2" t="inlineStr">
        <is>
          <t>Full SAT mock + full IELTS mock + 4h project.</t>
        </is>
      </c>
      <c r="C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O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  <col width="35" customWidth="1" min="15" max="15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Days to IELTS</t>
        </is>
      </c>
      <c r="D1" s="5" t="inlineStr">
        <is>
          <t>Days to SAT</t>
        </is>
      </c>
      <c r="E1" s="5" t="inlineStr">
        <is>
          <t>Days to Project Test</t>
        </is>
      </c>
      <c r="F1" s="5" t="inlineStr">
        <is>
          <t>Days to User/Restaurant Target</t>
        </is>
      </c>
      <c r="G1" s="5" t="inlineStr">
        <is>
          <t>Listening</t>
        </is>
      </c>
      <c r="H1" s="5" t="inlineStr">
        <is>
          <t>Reading</t>
        </is>
      </c>
      <c r="I1" s="5" t="inlineStr">
        <is>
          <t>Writing</t>
        </is>
      </c>
      <c r="J1" s="5" t="inlineStr">
        <is>
          <t>Speaking</t>
        </is>
      </c>
      <c r="K1" s="5" t="inlineStr">
        <is>
          <t>SAT Math</t>
        </is>
      </c>
      <c r="L1" s="5" t="inlineStr">
        <is>
          <t>SAT R&amp;W</t>
        </is>
      </c>
      <c r="M1" s="5" t="inlineStr">
        <is>
          <t>Project</t>
        </is>
      </c>
      <c r="N1" s="5" t="inlineStr">
        <is>
          <t>Daily Complete %</t>
        </is>
      </c>
      <c r="O1" s="5" t="inlineStr">
        <is>
          <t>Notes</t>
        </is>
      </c>
    </row>
    <row r="2">
      <c r="A2" s="3" t="n">
        <v>46258</v>
      </c>
      <c r="B2" s="2" t="inlineStr">
        <is>
          <t>Monday</t>
        </is>
      </c>
      <c r="C2" s="2" t="n">
        <v>76</v>
      </c>
      <c r="D2" s="2" t="n">
        <v>103</v>
      </c>
      <c r="E2" s="2" t="n">
        <v>69</v>
      </c>
      <c r="F2" s="2" t="n">
        <v>118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  <c r="N2" s="6">
        <f>COUNTIF(G2:M2,TRUE)/7</f>
        <v/>
      </c>
      <c r="O2" s="2" t="n"/>
    </row>
    <row r="3">
      <c r="A3" s="3" t="n">
        <v>46259</v>
      </c>
      <c r="B3" s="2" t="inlineStr">
        <is>
          <t>Tuesday</t>
        </is>
      </c>
      <c r="C3" s="2" t="n">
        <v>75</v>
      </c>
      <c r="D3" s="2" t="n">
        <v>102</v>
      </c>
      <c r="E3" s="2" t="n">
        <v>68</v>
      </c>
      <c r="F3" s="2" t="n">
        <v>117</v>
      </c>
      <c r="G3" s="2" t="b">
        <v>0</v>
      </c>
      <c r="H3" s="2" t="b">
        <v>0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6">
        <f>COUNTIF(G3:M3,TRUE)/7</f>
        <v/>
      </c>
      <c r="O3" s="2" t="n"/>
    </row>
    <row r="4">
      <c r="A4" s="3" t="n">
        <v>46260</v>
      </c>
      <c r="B4" s="2" t="inlineStr">
        <is>
          <t>Wednesday</t>
        </is>
      </c>
      <c r="C4" s="2" t="n">
        <v>74</v>
      </c>
      <c r="D4" s="2" t="n">
        <v>101</v>
      </c>
      <c r="E4" s="2" t="n">
        <v>67</v>
      </c>
      <c r="F4" s="2" t="n">
        <v>116</v>
      </c>
      <c r="G4" s="2" t="b">
        <v>0</v>
      </c>
      <c r="H4" s="2" t="b">
        <v>0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6">
        <f>COUNTIF(G4:M4,TRUE)/7</f>
        <v/>
      </c>
      <c r="O4" s="2" t="n"/>
    </row>
    <row r="5">
      <c r="A5" s="3" t="n">
        <v>46261</v>
      </c>
      <c r="B5" s="2" t="inlineStr">
        <is>
          <t>Thursday</t>
        </is>
      </c>
      <c r="C5" s="2" t="n">
        <v>73</v>
      </c>
      <c r="D5" s="2" t="n">
        <v>100</v>
      </c>
      <c r="E5" s="2" t="n">
        <v>66</v>
      </c>
      <c r="F5" s="2" t="n">
        <v>115</v>
      </c>
      <c r="G5" s="2" t="b">
        <v>0</v>
      </c>
      <c r="H5" s="2" t="b">
        <v>0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6">
        <f>COUNTIF(G5:M5,TRUE)/7</f>
        <v/>
      </c>
      <c r="O5" s="2" t="n"/>
    </row>
    <row r="6">
      <c r="A6" s="3" t="n">
        <v>46262</v>
      </c>
      <c r="B6" s="2" t="inlineStr">
        <is>
          <t>Friday</t>
        </is>
      </c>
      <c r="C6" s="2" t="n">
        <v>72</v>
      </c>
      <c r="D6" s="2" t="n">
        <v>99</v>
      </c>
      <c r="E6" s="2" t="n">
        <v>65</v>
      </c>
      <c r="F6" s="2" t="n">
        <v>114</v>
      </c>
      <c r="G6" s="2" t="b">
        <v>0</v>
      </c>
      <c r="H6" s="2" t="b">
        <v>0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6">
        <f>COUNTIF(G6:M6,TRUE)/7</f>
        <v/>
      </c>
      <c r="O6" s="2" t="n"/>
    </row>
    <row r="7">
      <c r="A7" s="3" t="n">
        <v>46263</v>
      </c>
      <c r="B7" s="2" t="inlineStr">
        <is>
          <t>Saturday</t>
        </is>
      </c>
      <c r="C7" s="2" t="n">
        <v>71</v>
      </c>
      <c r="D7" s="2" t="n">
        <v>98</v>
      </c>
      <c r="E7" s="2" t="n">
        <v>64</v>
      </c>
      <c r="F7" s="2" t="n">
        <v>113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6">
        <f>COUNTIF(G7:M7,TRUE)/7</f>
        <v/>
      </c>
      <c r="O7" s="2" t="n"/>
    </row>
    <row r="8">
      <c r="A8" s="7" t="n">
        <v>46264</v>
      </c>
      <c r="B8" s="8" t="inlineStr">
        <is>
          <t>Sunday</t>
        </is>
      </c>
      <c r="C8" s="8" t="n">
        <v>70</v>
      </c>
      <c r="D8" s="8" t="n">
        <v>97</v>
      </c>
      <c r="E8" s="8" t="n">
        <v>63</v>
      </c>
      <c r="F8" s="8" t="n">
        <v>112</v>
      </c>
      <c r="G8" s="8" t="b">
        <v>0</v>
      </c>
      <c r="H8" s="8" t="b">
        <v>0</v>
      </c>
      <c r="I8" s="8" t="b">
        <v>0</v>
      </c>
      <c r="J8" s="8" t="b">
        <v>0</v>
      </c>
      <c r="K8" s="8" t="b">
        <v>0</v>
      </c>
      <c r="L8" s="8" t="b">
        <v>0</v>
      </c>
      <c r="M8" s="8" t="b">
        <v>0</v>
      </c>
      <c r="N8" s="9">
        <f>COUNTIF(G8:M8,TRUE)/7</f>
        <v/>
      </c>
      <c r="O8" s="8" t="n"/>
    </row>
    <row r="9">
      <c r="A9" s="3" t="n">
        <v>46265</v>
      </c>
      <c r="B9" s="2" t="inlineStr">
        <is>
          <t>Monday</t>
        </is>
      </c>
      <c r="C9" s="2" t="n">
        <v>69</v>
      </c>
      <c r="D9" s="2" t="n">
        <v>96</v>
      </c>
      <c r="E9" s="2" t="n">
        <v>62</v>
      </c>
      <c r="F9" s="2" t="n">
        <v>111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6">
        <f>COUNTIF(G9:M9,TRUE)/7</f>
        <v/>
      </c>
      <c r="O9" s="2" t="n"/>
    </row>
    <row r="10">
      <c r="A10" s="3" t="n">
        <v>46266</v>
      </c>
      <c r="B10" s="2" t="inlineStr">
        <is>
          <t>Tuesday</t>
        </is>
      </c>
      <c r="C10" s="2" t="n">
        <v>68</v>
      </c>
      <c r="D10" s="2" t="n">
        <v>95</v>
      </c>
      <c r="E10" s="2" t="n">
        <v>61</v>
      </c>
      <c r="F10" s="2" t="n">
        <v>110</v>
      </c>
      <c r="G10" s="2" t="b">
        <v>0</v>
      </c>
      <c r="H10" s="2" t="b">
        <v>0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6">
        <f>COUNTIF(G10:M10,TRUE)/7</f>
        <v/>
      </c>
      <c r="O10" s="2" t="n"/>
    </row>
    <row r="11">
      <c r="A11" s="3" t="n">
        <v>46267</v>
      </c>
      <c r="B11" s="2" t="inlineStr">
        <is>
          <t>Wednesday</t>
        </is>
      </c>
      <c r="C11" s="2" t="n">
        <v>67</v>
      </c>
      <c r="D11" s="2" t="n">
        <v>94</v>
      </c>
      <c r="E11" s="2" t="n">
        <v>60</v>
      </c>
      <c r="F11" s="2" t="n">
        <v>109</v>
      </c>
      <c r="G11" s="2" t="b">
        <v>0</v>
      </c>
      <c r="H11" s="2" t="b">
        <v>0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6">
        <f>COUNTIF(G11:M11,TRUE)/7</f>
        <v/>
      </c>
      <c r="O11" s="2" t="n"/>
    </row>
    <row r="12">
      <c r="A12" s="3" t="n">
        <v>46268</v>
      </c>
      <c r="B12" s="2" t="inlineStr">
        <is>
          <t>Thursday</t>
        </is>
      </c>
      <c r="C12" s="2" t="n">
        <v>66</v>
      </c>
      <c r="D12" s="2" t="n">
        <v>93</v>
      </c>
      <c r="E12" s="2" t="n">
        <v>59</v>
      </c>
      <c r="F12" s="2" t="n">
        <v>108</v>
      </c>
      <c r="G12" s="2" t="b">
        <v>0</v>
      </c>
      <c r="H12" s="2" t="b">
        <v>0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6">
        <f>COUNTIF(G12:M12,TRUE)/7</f>
        <v/>
      </c>
      <c r="O12" s="2" t="n"/>
    </row>
    <row r="13">
      <c r="A13" s="3" t="n">
        <v>46269</v>
      </c>
      <c r="B13" s="2" t="inlineStr">
        <is>
          <t>Friday</t>
        </is>
      </c>
      <c r="C13" s="2" t="n">
        <v>65</v>
      </c>
      <c r="D13" s="2" t="n">
        <v>92</v>
      </c>
      <c r="E13" s="2" t="n">
        <v>58</v>
      </c>
      <c r="F13" s="2" t="n">
        <v>107</v>
      </c>
      <c r="G13" s="2" t="b">
        <v>0</v>
      </c>
      <c r="H13" s="2" t="b">
        <v>0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6">
        <f>COUNTIF(G13:M13,TRUE)/7</f>
        <v/>
      </c>
      <c r="O13" s="2" t="n"/>
    </row>
    <row r="14">
      <c r="A14" s="3" t="n">
        <v>46270</v>
      </c>
      <c r="B14" s="2" t="inlineStr">
        <is>
          <t>Saturday</t>
        </is>
      </c>
      <c r="C14" s="2" t="n">
        <v>64</v>
      </c>
      <c r="D14" s="2" t="n">
        <v>91</v>
      </c>
      <c r="E14" s="2" t="n">
        <v>57</v>
      </c>
      <c r="F14" s="2" t="n">
        <v>106</v>
      </c>
      <c r="G14" s="2" t="b">
        <v>0</v>
      </c>
      <c r="H14" s="2" t="b">
        <v>0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6">
        <f>COUNTIF(G14:M14,TRUE)/7</f>
        <v/>
      </c>
      <c r="O14" s="2" t="n"/>
    </row>
    <row r="15">
      <c r="A15" s="7" t="n">
        <v>46271</v>
      </c>
      <c r="B15" s="8" t="inlineStr">
        <is>
          <t>Sunday</t>
        </is>
      </c>
      <c r="C15" s="8" t="n">
        <v>63</v>
      </c>
      <c r="D15" s="8" t="n">
        <v>90</v>
      </c>
      <c r="E15" s="8" t="n">
        <v>56</v>
      </c>
      <c r="F15" s="8" t="n">
        <v>105</v>
      </c>
      <c r="G15" s="8" t="b">
        <v>0</v>
      </c>
      <c r="H15" s="8" t="b">
        <v>0</v>
      </c>
      <c r="I15" s="8" t="b">
        <v>0</v>
      </c>
      <c r="J15" s="8" t="b">
        <v>0</v>
      </c>
      <c r="K15" s="8" t="b">
        <v>0</v>
      </c>
      <c r="L15" s="8" t="b">
        <v>0</v>
      </c>
      <c r="M15" s="8" t="b">
        <v>0</v>
      </c>
      <c r="N15" s="9">
        <f>COUNTIF(G15:M15,TRUE)/7</f>
        <v/>
      </c>
      <c r="O15" s="8" t="n"/>
    </row>
    <row r="16">
      <c r="A16" s="3" t="n">
        <v>46272</v>
      </c>
      <c r="B16" s="2" t="inlineStr">
        <is>
          <t>Monday</t>
        </is>
      </c>
      <c r="C16" s="2" t="n">
        <v>62</v>
      </c>
      <c r="D16" s="2" t="n">
        <v>89</v>
      </c>
      <c r="E16" s="2" t="n">
        <v>55</v>
      </c>
      <c r="F16" s="2" t="n">
        <v>104</v>
      </c>
      <c r="G16" s="2" t="b">
        <v>0</v>
      </c>
      <c r="H16" s="2" t="b">
        <v>0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6">
        <f>COUNTIF(G16:M16,TRUE)/7</f>
        <v/>
      </c>
      <c r="O16" s="2" t="n"/>
    </row>
    <row r="17">
      <c r="A17" s="3" t="n">
        <v>46273</v>
      </c>
      <c r="B17" s="2" t="inlineStr">
        <is>
          <t>Tuesday</t>
        </is>
      </c>
      <c r="C17" s="2" t="n">
        <v>61</v>
      </c>
      <c r="D17" s="2" t="n">
        <v>88</v>
      </c>
      <c r="E17" s="2" t="n">
        <v>54</v>
      </c>
      <c r="F17" s="2" t="n">
        <v>103</v>
      </c>
      <c r="G17" s="2" t="b">
        <v>0</v>
      </c>
      <c r="H17" s="2" t="b">
        <v>0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6">
        <f>COUNTIF(G17:M17,TRUE)/7</f>
        <v/>
      </c>
      <c r="O17" s="2" t="n"/>
    </row>
    <row r="18">
      <c r="A18" s="3" t="n">
        <v>46274</v>
      </c>
      <c r="B18" s="2" t="inlineStr">
        <is>
          <t>Wednesday</t>
        </is>
      </c>
      <c r="C18" s="2" t="n">
        <v>60</v>
      </c>
      <c r="D18" s="2" t="n">
        <v>87</v>
      </c>
      <c r="E18" s="2" t="n">
        <v>53</v>
      </c>
      <c r="F18" s="2" t="n">
        <v>102</v>
      </c>
      <c r="G18" s="2" t="b">
        <v>0</v>
      </c>
      <c r="H18" s="2" t="b">
        <v>0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6">
        <f>COUNTIF(G18:M18,TRUE)/7</f>
        <v/>
      </c>
      <c r="O18" s="2" t="n"/>
    </row>
    <row r="19">
      <c r="A19" s="3" t="n">
        <v>46275</v>
      </c>
      <c r="B19" s="2" t="inlineStr">
        <is>
          <t>Thursday</t>
        </is>
      </c>
      <c r="C19" s="2" t="n">
        <v>59</v>
      </c>
      <c r="D19" s="2" t="n">
        <v>86</v>
      </c>
      <c r="E19" s="2" t="n">
        <v>52</v>
      </c>
      <c r="F19" s="2" t="n">
        <v>101</v>
      </c>
      <c r="G19" s="2" t="b">
        <v>0</v>
      </c>
      <c r="H19" s="2" t="b">
        <v>0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6">
        <f>COUNTIF(G19:M19,TRUE)/7</f>
        <v/>
      </c>
      <c r="O19" s="2" t="n"/>
    </row>
    <row r="20">
      <c r="A20" s="3" t="n">
        <v>46276</v>
      </c>
      <c r="B20" s="2" t="inlineStr">
        <is>
          <t>Friday</t>
        </is>
      </c>
      <c r="C20" s="2" t="n">
        <v>58</v>
      </c>
      <c r="D20" s="2" t="n">
        <v>85</v>
      </c>
      <c r="E20" s="2" t="n">
        <v>51</v>
      </c>
      <c r="F20" s="2" t="n">
        <v>100</v>
      </c>
      <c r="G20" s="2" t="b">
        <v>0</v>
      </c>
      <c r="H20" s="2" t="b">
        <v>0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6">
        <f>COUNTIF(G20:M20,TRUE)/7</f>
        <v/>
      </c>
      <c r="O20" s="2" t="n"/>
    </row>
    <row r="21">
      <c r="A21" s="3" t="n">
        <v>46277</v>
      </c>
      <c r="B21" s="2" t="inlineStr">
        <is>
          <t>Saturday</t>
        </is>
      </c>
      <c r="C21" s="2" t="n">
        <v>57</v>
      </c>
      <c r="D21" s="2" t="n">
        <v>84</v>
      </c>
      <c r="E21" s="2" t="n">
        <v>50</v>
      </c>
      <c r="F21" s="2" t="n">
        <v>99</v>
      </c>
      <c r="G21" s="2" t="b">
        <v>0</v>
      </c>
      <c r="H21" s="2" t="b">
        <v>0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6">
        <f>COUNTIF(G21:M21,TRUE)/7</f>
        <v/>
      </c>
      <c r="O21" s="2" t="n"/>
    </row>
    <row r="22">
      <c r="A22" s="7" t="n">
        <v>46278</v>
      </c>
      <c r="B22" s="8" t="inlineStr">
        <is>
          <t>Sunday</t>
        </is>
      </c>
      <c r="C22" s="8" t="n">
        <v>56</v>
      </c>
      <c r="D22" s="8" t="n">
        <v>83</v>
      </c>
      <c r="E22" s="8" t="n">
        <v>49</v>
      </c>
      <c r="F22" s="8" t="n">
        <v>98</v>
      </c>
      <c r="G22" s="8" t="b">
        <v>0</v>
      </c>
      <c r="H22" s="8" t="b">
        <v>0</v>
      </c>
      <c r="I22" s="8" t="b">
        <v>0</v>
      </c>
      <c r="J22" s="8" t="b">
        <v>0</v>
      </c>
      <c r="K22" s="8" t="b">
        <v>0</v>
      </c>
      <c r="L22" s="8" t="b">
        <v>0</v>
      </c>
      <c r="M22" s="8" t="b">
        <v>0</v>
      </c>
      <c r="N22" s="9">
        <f>COUNTIF(G22:M22,TRUE)/7</f>
        <v/>
      </c>
      <c r="O22" s="8" t="n"/>
    </row>
    <row r="23">
      <c r="A23" s="3" t="n">
        <v>46279</v>
      </c>
      <c r="B23" s="2" t="inlineStr">
        <is>
          <t>Monday</t>
        </is>
      </c>
      <c r="C23" s="2" t="n">
        <v>55</v>
      </c>
      <c r="D23" s="2" t="n">
        <v>82</v>
      </c>
      <c r="E23" s="2" t="n">
        <v>48</v>
      </c>
      <c r="F23" s="2" t="n">
        <v>97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6">
        <f>COUNTIF(G23:M23,TRUE)/7</f>
        <v/>
      </c>
      <c r="O23" s="2" t="n"/>
    </row>
    <row r="24">
      <c r="A24" s="3" t="n">
        <v>46280</v>
      </c>
      <c r="B24" s="2" t="inlineStr">
        <is>
          <t>Tuesday</t>
        </is>
      </c>
      <c r="C24" s="2" t="n">
        <v>54</v>
      </c>
      <c r="D24" s="2" t="n">
        <v>81</v>
      </c>
      <c r="E24" s="2" t="n">
        <v>47</v>
      </c>
      <c r="F24" s="2" t="n">
        <v>96</v>
      </c>
      <c r="G24" s="2" t="b">
        <v>0</v>
      </c>
      <c r="H24" s="2" t="b">
        <v>0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6">
        <f>COUNTIF(G24:M24,TRUE)/7</f>
        <v/>
      </c>
      <c r="O24" s="2" t="n"/>
    </row>
    <row r="25">
      <c r="A25" s="3" t="n">
        <v>46281</v>
      </c>
      <c r="B25" s="2" t="inlineStr">
        <is>
          <t>Wednesday</t>
        </is>
      </c>
      <c r="C25" s="2" t="n">
        <v>53</v>
      </c>
      <c r="D25" s="2" t="n">
        <v>80</v>
      </c>
      <c r="E25" s="2" t="n">
        <v>46</v>
      </c>
      <c r="F25" s="2" t="n">
        <v>95</v>
      </c>
      <c r="G25" s="2" t="b">
        <v>0</v>
      </c>
      <c r="H25" s="2" t="b">
        <v>0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6">
        <f>COUNTIF(G25:M25,TRUE)/7</f>
        <v/>
      </c>
      <c r="O25" s="2" t="n"/>
    </row>
    <row r="26">
      <c r="A26" s="3" t="n">
        <v>46282</v>
      </c>
      <c r="B26" s="2" t="inlineStr">
        <is>
          <t>Thursday</t>
        </is>
      </c>
      <c r="C26" s="2" t="n">
        <v>52</v>
      </c>
      <c r="D26" s="2" t="n">
        <v>79</v>
      </c>
      <c r="E26" s="2" t="n">
        <v>45</v>
      </c>
      <c r="F26" s="2" t="n">
        <v>94</v>
      </c>
      <c r="G26" s="2" t="b">
        <v>0</v>
      </c>
      <c r="H26" s="2" t="b">
        <v>0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6">
        <f>COUNTIF(G26:M26,TRUE)/7</f>
        <v/>
      </c>
      <c r="O26" s="2" t="n"/>
    </row>
    <row r="27">
      <c r="A27" s="3" t="n">
        <v>46283</v>
      </c>
      <c r="B27" s="2" t="inlineStr">
        <is>
          <t>Friday</t>
        </is>
      </c>
      <c r="C27" s="2" t="n">
        <v>51</v>
      </c>
      <c r="D27" s="2" t="n">
        <v>78</v>
      </c>
      <c r="E27" s="2" t="n">
        <v>44</v>
      </c>
      <c r="F27" s="2" t="n">
        <v>93</v>
      </c>
      <c r="G27" s="2" t="b">
        <v>0</v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6">
        <f>COUNTIF(G27:M27,TRUE)/7</f>
        <v/>
      </c>
      <c r="O27" s="2" t="n"/>
    </row>
    <row r="28">
      <c r="A28" s="3" t="n">
        <v>46284</v>
      </c>
      <c r="B28" s="2" t="inlineStr">
        <is>
          <t>Saturday</t>
        </is>
      </c>
      <c r="C28" s="2" t="n">
        <v>50</v>
      </c>
      <c r="D28" s="2" t="n">
        <v>77</v>
      </c>
      <c r="E28" s="2" t="n">
        <v>43</v>
      </c>
      <c r="F28" s="2" t="n">
        <v>92</v>
      </c>
      <c r="G28" s="2" t="b">
        <v>0</v>
      </c>
      <c r="H28" s="2" t="b">
        <v>0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6">
        <f>COUNTIF(G28:M28,TRUE)/7</f>
        <v/>
      </c>
      <c r="O28" s="2" t="n"/>
    </row>
    <row r="29">
      <c r="A29" s="7" t="n">
        <v>46285</v>
      </c>
      <c r="B29" s="8" t="inlineStr">
        <is>
          <t>Sunday</t>
        </is>
      </c>
      <c r="C29" s="8" t="n">
        <v>49</v>
      </c>
      <c r="D29" s="8" t="n">
        <v>76</v>
      </c>
      <c r="E29" s="8" t="n">
        <v>42</v>
      </c>
      <c r="F29" s="8" t="n">
        <v>91</v>
      </c>
      <c r="G29" s="8" t="b">
        <v>0</v>
      </c>
      <c r="H29" s="8" t="b">
        <v>0</v>
      </c>
      <c r="I29" s="8" t="b">
        <v>0</v>
      </c>
      <c r="J29" s="8" t="b">
        <v>0</v>
      </c>
      <c r="K29" s="8" t="b">
        <v>0</v>
      </c>
      <c r="L29" s="8" t="b">
        <v>0</v>
      </c>
      <c r="M29" s="8" t="b">
        <v>0</v>
      </c>
      <c r="N29" s="9">
        <f>COUNTIF(G29:M29,TRUE)/7</f>
        <v/>
      </c>
      <c r="O29" s="8" t="n"/>
    </row>
    <row r="30">
      <c r="A30" s="3" t="n">
        <v>46286</v>
      </c>
      <c r="B30" s="2" t="inlineStr">
        <is>
          <t>Monday</t>
        </is>
      </c>
      <c r="C30" s="2" t="n">
        <v>48</v>
      </c>
      <c r="D30" s="2" t="n">
        <v>75</v>
      </c>
      <c r="E30" s="2" t="n">
        <v>41</v>
      </c>
      <c r="F30" s="2" t="n">
        <v>90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6">
        <f>COUNTIF(G30:M30,TRUE)/7</f>
        <v/>
      </c>
      <c r="O30" s="2" t="n"/>
    </row>
    <row r="31">
      <c r="A31" s="3" t="n">
        <v>46287</v>
      </c>
      <c r="B31" s="2" t="inlineStr">
        <is>
          <t>Tuesday</t>
        </is>
      </c>
      <c r="C31" s="2" t="n">
        <v>47</v>
      </c>
      <c r="D31" s="2" t="n">
        <v>74</v>
      </c>
      <c r="E31" s="2" t="n">
        <v>40</v>
      </c>
      <c r="F31" s="2" t="n">
        <v>89</v>
      </c>
      <c r="G31" s="2" t="b">
        <v>0</v>
      </c>
      <c r="H31" s="2" t="b">
        <v>0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6">
        <f>COUNTIF(G31:M31,TRUE)/7</f>
        <v/>
      </c>
      <c r="O31" s="2" t="n"/>
    </row>
    <row r="32">
      <c r="A32" s="3" t="n">
        <v>46288</v>
      </c>
      <c r="B32" s="2" t="inlineStr">
        <is>
          <t>Wednesday</t>
        </is>
      </c>
      <c r="C32" s="2" t="n">
        <v>46</v>
      </c>
      <c r="D32" s="2" t="n">
        <v>73</v>
      </c>
      <c r="E32" s="2" t="n">
        <v>39</v>
      </c>
      <c r="F32" s="2" t="n">
        <v>88</v>
      </c>
      <c r="G32" s="2" t="b">
        <v>0</v>
      </c>
      <c r="H32" s="2" t="b">
        <v>0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6">
        <f>COUNTIF(G32:M32,TRUE)/7</f>
        <v/>
      </c>
      <c r="O32" s="2" t="n"/>
    </row>
    <row r="33">
      <c r="A33" s="3" t="n">
        <v>46289</v>
      </c>
      <c r="B33" s="2" t="inlineStr">
        <is>
          <t>Thursday</t>
        </is>
      </c>
      <c r="C33" s="2" t="n">
        <v>45</v>
      </c>
      <c r="D33" s="2" t="n">
        <v>72</v>
      </c>
      <c r="E33" s="2" t="n">
        <v>38</v>
      </c>
      <c r="F33" s="2" t="n">
        <v>87</v>
      </c>
      <c r="G33" s="2" t="b">
        <v>0</v>
      </c>
      <c r="H33" s="2" t="b">
        <v>0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6">
        <f>COUNTIF(G33:M33,TRUE)/7</f>
        <v/>
      </c>
      <c r="O33" s="2" t="n"/>
    </row>
    <row r="34">
      <c r="A34" s="3" t="n">
        <v>46290</v>
      </c>
      <c r="B34" s="2" t="inlineStr">
        <is>
          <t>Friday</t>
        </is>
      </c>
      <c r="C34" s="2" t="n">
        <v>44</v>
      </c>
      <c r="D34" s="2" t="n">
        <v>71</v>
      </c>
      <c r="E34" s="2" t="n">
        <v>37</v>
      </c>
      <c r="F34" s="2" t="n">
        <v>86</v>
      </c>
      <c r="G34" s="2" t="b">
        <v>0</v>
      </c>
      <c r="H34" s="2" t="b">
        <v>0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6">
        <f>COUNTIF(G34:M34,TRUE)/7</f>
        <v/>
      </c>
      <c r="O34" s="2" t="n"/>
    </row>
    <row r="35">
      <c r="A35" s="3" t="n">
        <v>46291</v>
      </c>
      <c r="B35" s="2" t="inlineStr">
        <is>
          <t>Saturday</t>
        </is>
      </c>
      <c r="C35" s="2" t="n">
        <v>43</v>
      </c>
      <c r="D35" s="2" t="n">
        <v>70</v>
      </c>
      <c r="E35" s="2" t="n">
        <v>36</v>
      </c>
      <c r="F35" s="2" t="n">
        <v>85</v>
      </c>
      <c r="G35" s="2" t="b">
        <v>0</v>
      </c>
      <c r="H35" s="2" t="b">
        <v>0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6">
        <f>COUNTIF(G35:M35,TRUE)/7</f>
        <v/>
      </c>
      <c r="O35" s="2" t="n"/>
    </row>
    <row r="36">
      <c r="A36" s="7" t="n">
        <v>46292</v>
      </c>
      <c r="B36" s="8" t="inlineStr">
        <is>
          <t>Sunday</t>
        </is>
      </c>
      <c r="C36" s="8" t="n">
        <v>42</v>
      </c>
      <c r="D36" s="8" t="n">
        <v>69</v>
      </c>
      <c r="E36" s="8" t="n">
        <v>35</v>
      </c>
      <c r="F36" s="8" t="n">
        <v>84</v>
      </c>
      <c r="G36" s="8" t="b">
        <v>0</v>
      </c>
      <c r="H36" s="8" t="b">
        <v>0</v>
      </c>
      <c r="I36" s="8" t="b">
        <v>0</v>
      </c>
      <c r="J36" s="8" t="b">
        <v>0</v>
      </c>
      <c r="K36" s="8" t="b">
        <v>0</v>
      </c>
      <c r="L36" s="8" t="b">
        <v>0</v>
      </c>
      <c r="M36" s="8" t="b">
        <v>0</v>
      </c>
      <c r="N36" s="9">
        <f>COUNTIF(G36:M36,TRUE)/7</f>
        <v/>
      </c>
      <c r="O36" s="8" t="n"/>
    </row>
    <row r="37">
      <c r="A37" s="3" t="n">
        <v>46293</v>
      </c>
      <c r="B37" s="2" t="inlineStr">
        <is>
          <t>Monday</t>
        </is>
      </c>
      <c r="C37" s="2" t="n">
        <v>41</v>
      </c>
      <c r="D37" s="2" t="n">
        <v>68</v>
      </c>
      <c r="E37" s="2" t="n">
        <v>34</v>
      </c>
      <c r="F37" s="2" t="n">
        <v>83</v>
      </c>
      <c r="G37" s="2" t="b">
        <v>0</v>
      </c>
      <c r="H37" s="2" t="b">
        <v>0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6">
        <f>COUNTIF(G37:M37,TRUE)/7</f>
        <v/>
      </c>
      <c r="O37" s="2" t="n"/>
    </row>
    <row r="38">
      <c r="A38" s="3" t="n">
        <v>46294</v>
      </c>
      <c r="B38" s="2" t="inlineStr">
        <is>
          <t>Tuesday</t>
        </is>
      </c>
      <c r="C38" s="2" t="n">
        <v>40</v>
      </c>
      <c r="D38" s="2" t="n">
        <v>67</v>
      </c>
      <c r="E38" s="2" t="n">
        <v>33</v>
      </c>
      <c r="F38" s="2" t="n">
        <v>82</v>
      </c>
      <c r="G38" s="2" t="b">
        <v>0</v>
      </c>
      <c r="H38" s="2" t="b">
        <v>0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6">
        <f>COUNTIF(G38:M38,TRUE)/7</f>
        <v/>
      </c>
      <c r="O38" s="2" t="n"/>
    </row>
    <row r="39">
      <c r="A39" s="3" t="n">
        <v>46295</v>
      </c>
      <c r="B39" s="2" t="inlineStr">
        <is>
          <t>Wednesday</t>
        </is>
      </c>
      <c r="C39" s="2" t="n">
        <v>39</v>
      </c>
      <c r="D39" s="2" t="n">
        <v>66</v>
      </c>
      <c r="E39" s="2" t="n">
        <v>32</v>
      </c>
      <c r="F39" s="2" t="n">
        <v>81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6">
        <f>COUNTIF(G39:M39,TRUE)/7</f>
        <v/>
      </c>
      <c r="O39" s="2" t="n"/>
    </row>
    <row r="40">
      <c r="A40" s="3" t="n">
        <v>46296</v>
      </c>
      <c r="B40" s="2" t="inlineStr">
        <is>
          <t>Thursday</t>
        </is>
      </c>
      <c r="C40" s="2" t="n">
        <v>38</v>
      </c>
      <c r="D40" s="2" t="n">
        <v>65</v>
      </c>
      <c r="E40" s="2" t="n">
        <v>31</v>
      </c>
      <c r="F40" s="2" t="n">
        <v>80</v>
      </c>
      <c r="G40" s="2" t="b">
        <v>0</v>
      </c>
      <c r="H40" s="2" t="b">
        <v>0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6">
        <f>COUNTIF(G40:M40,TRUE)/7</f>
        <v/>
      </c>
      <c r="O40" s="2" t="n"/>
    </row>
    <row r="41">
      <c r="A41" s="3" t="n">
        <v>46297</v>
      </c>
      <c r="B41" s="2" t="inlineStr">
        <is>
          <t>Friday</t>
        </is>
      </c>
      <c r="C41" s="2" t="n">
        <v>37</v>
      </c>
      <c r="D41" s="2" t="n">
        <v>64</v>
      </c>
      <c r="E41" s="2" t="n">
        <v>30</v>
      </c>
      <c r="F41" s="2" t="n">
        <v>79</v>
      </c>
      <c r="G41" s="2" t="b">
        <v>0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6">
        <f>COUNTIF(G41:M41,TRUE)/7</f>
        <v/>
      </c>
      <c r="O41" s="2" t="n"/>
    </row>
    <row r="42">
      <c r="A42" s="3" t="n">
        <v>46298</v>
      </c>
      <c r="B42" s="2" t="inlineStr">
        <is>
          <t>Saturday</t>
        </is>
      </c>
      <c r="C42" s="2" t="n">
        <v>36</v>
      </c>
      <c r="D42" s="2" t="n">
        <v>63</v>
      </c>
      <c r="E42" s="2" t="n">
        <v>29</v>
      </c>
      <c r="F42" s="2" t="n">
        <v>78</v>
      </c>
      <c r="G42" s="2" t="b">
        <v>0</v>
      </c>
      <c r="H42" s="2" t="b">
        <v>0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6">
        <f>COUNTIF(G42:M42,TRUE)/7</f>
        <v/>
      </c>
      <c r="O42" s="2" t="n"/>
    </row>
    <row r="43">
      <c r="A43" s="7" t="n">
        <v>46299</v>
      </c>
      <c r="B43" s="8" t="inlineStr">
        <is>
          <t>Sunday</t>
        </is>
      </c>
      <c r="C43" s="8" t="n">
        <v>35</v>
      </c>
      <c r="D43" s="8" t="n">
        <v>62</v>
      </c>
      <c r="E43" s="8" t="n">
        <v>28</v>
      </c>
      <c r="F43" s="8" t="n">
        <v>77</v>
      </c>
      <c r="G43" s="8" t="b">
        <v>0</v>
      </c>
      <c r="H43" s="8" t="b">
        <v>0</v>
      </c>
      <c r="I43" s="8" t="b">
        <v>0</v>
      </c>
      <c r="J43" s="8" t="b">
        <v>0</v>
      </c>
      <c r="K43" s="8" t="b">
        <v>0</v>
      </c>
      <c r="L43" s="8" t="b">
        <v>0</v>
      </c>
      <c r="M43" s="8" t="b">
        <v>0</v>
      </c>
      <c r="N43" s="9">
        <f>COUNTIF(G43:M43,TRUE)/7</f>
        <v/>
      </c>
      <c r="O43" s="8" t="n"/>
    </row>
    <row r="44">
      <c r="A44" s="3" t="n">
        <v>46300</v>
      </c>
      <c r="B44" s="2" t="inlineStr">
        <is>
          <t>Monday</t>
        </is>
      </c>
      <c r="C44" s="2" t="n">
        <v>34</v>
      </c>
      <c r="D44" s="2" t="n">
        <v>61</v>
      </c>
      <c r="E44" s="2" t="n">
        <v>27</v>
      </c>
      <c r="F44" s="2" t="n">
        <v>76</v>
      </c>
      <c r="G44" s="2" t="b">
        <v>0</v>
      </c>
      <c r="H44" s="2" t="b">
        <v>0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6">
        <f>COUNTIF(G44:M44,TRUE)/7</f>
        <v/>
      </c>
      <c r="O44" s="2" t="n"/>
    </row>
    <row r="45">
      <c r="A45" s="3" t="n">
        <v>46301</v>
      </c>
      <c r="B45" s="2" t="inlineStr">
        <is>
          <t>Tuesday</t>
        </is>
      </c>
      <c r="C45" s="2" t="n">
        <v>33</v>
      </c>
      <c r="D45" s="2" t="n">
        <v>60</v>
      </c>
      <c r="E45" s="2" t="n">
        <v>26</v>
      </c>
      <c r="F45" s="2" t="n">
        <v>75</v>
      </c>
      <c r="G45" s="2" t="b">
        <v>0</v>
      </c>
      <c r="H45" s="2" t="b">
        <v>0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6">
        <f>COUNTIF(G45:M45,TRUE)/7</f>
        <v/>
      </c>
      <c r="O45" s="2" t="n"/>
    </row>
    <row r="46">
      <c r="A46" s="3" t="n">
        <v>46302</v>
      </c>
      <c r="B46" s="2" t="inlineStr">
        <is>
          <t>Wednesday</t>
        </is>
      </c>
      <c r="C46" s="2" t="n">
        <v>32</v>
      </c>
      <c r="D46" s="2" t="n">
        <v>59</v>
      </c>
      <c r="E46" s="2" t="n">
        <v>25</v>
      </c>
      <c r="F46" s="2" t="n">
        <v>74</v>
      </c>
      <c r="G46" s="2" t="b">
        <v>0</v>
      </c>
      <c r="H46" s="2" t="b">
        <v>0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6">
        <f>COUNTIF(G46:M46,TRUE)/7</f>
        <v/>
      </c>
      <c r="O46" s="2" t="n"/>
    </row>
    <row r="47">
      <c r="A47" s="3" t="n">
        <v>46303</v>
      </c>
      <c r="B47" s="2" t="inlineStr">
        <is>
          <t>Thursday</t>
        </is>
      </c>
      <c r="C47" s="2" t="n">
        <v>31</v>
      </c>
      <c r="D47" s="2" t="n">
        <v>58</v>
      </c>
      <c r="E47" s="2" t="n">
        <v>24</v>
      </c>
      <c r="F47" s="2" t="n">
        <v>73</v>
      </c>
      <c r="G47" s="2" t="b">
        <v>0</v>
      </c>
      <c r="H47" s="2" t="b">
        <v>0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6">
        <f>COUNTIF(G47:M47,TRUE)/7</f>
        <v/>
      </c>
      <c r="O47" s="2" t="n"/>
    </row>
    <row r="48">
      <c r="A48" s="3" t="n">
        <v>46304</v>
      </c>
      <c r="B48" s="2" t="inlineStr">
        <is>
          <t>Friday</t>
        </is>
      </c>
      <c r="C48" s="2" t="n">
        <v>30</v>
      </c>
      <c r="D48" s="2" t="n">
        <v>57</v>
      </c>
      <c r="E48" s="2" t="n">
        <v>23</v>
      </c>
      <c r="F48" s="2" t="n">
        <v>72</v>
      </c>
      <c r="G48" s="2" t="b">
        <v>0</v>
      </c>
      <c r="H48" s="2" t="b">
        <v>0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6">
        <f>COUNTIF(G48:M48,TRUE)/7</f>
        <v/>
      </c>
      <c r="O48" s="2" t="n"/>
    </row>
    <row r="49">
      <c r="A49" s="3" t="n">
        <v>46305</v>
      </c>
      <c r="B49" s="2" t="inlineStr">
        <is>
          <t>Saturday</t>
        </is>
      </c>
      <c r="C49" s="2" t="n">
        <v>29</v>
      </c>
      <c r="D49" s="2" t="n">
        <v>56</v>
      </c>
      <c r="E49" s="2" t="n">
        <v>22</v>
      </c>
      <c r="F49" s="2" t="n">
        <v>71</v>
      </c>
      <c r="G49" s="2" t="b">
        <v>0</v>
      </c>
      <c r="H49" s="2" t="b">
        <v>0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6">
        <f>COUNTIF(G49:M49,TRUE)/7</f>
        <v/>
      </c>
      <c r="O49" s="2" t="n"/>
    </row>
    <row r="50">
      <c r="A50" s="7" t="n">
        <v>46306</v>
      </c>
      <c r="B50" s="8" t="inlineStr">
        <is>
          <t>Sunday</t>
        </is>
      </c>
      <c r="C50" s="8" t="n">
        <v>28</v>
      </c>
      <c r="D50" s="8" t="n">
        <v>55</v>
      </c>
      <c r="E50" s="8" t="n">
        <v>21</v>
      </c>
      <c r="F50" s="8" t="n">
        <v>70</v>
      </c>
      <c r="G50" s="8" t="b">
        <v>0</v>
      </c>
      <c r="H50" s="8" t="b">
        <v>0</v>
      </c>
      <c r="I50" s="8" t="b">
        <v>0</v>
      </c>
      <c r="J50" s="8" t="b">
        <v>0</v>
      </c>
      <c r="K50" s="8" t="b">
        <v>0</v>
      </c>
      <c r="L50" s="8" t="b">
        <v>0</v>
      </c>
      <c r="M50" s="8" t="b">
        <v>0</v>
      </c>
      <c r="N50" s="9">
        <f>COUNTIF(G50:M50,TRUE)/7</f>
        <v/>
      </c>
      <c r="O50" s="8" t="n"/>
    </row>
    <row r="51">
      <c r="A51" s="3" t="n">
        <v>46307</v>
      </c>
      <c r="B51" s="2" t="inlineStr">
        <is>
          <t>Monday</t>
        </is>
      </c>
      <c r="C51" s="2" t="n">
        <v>27</v>
      </c>
      <c r="D51" s="2" t="n">
        <v>54</v>
      </c>
      <c r="E51" s="2" t="n">
        <v>20</v>
      </c>
      <c r="F51" s="2" t="n">
        <v>69</v>
      </c>
      <c r="G51" s="2" t="b">
        <v>0</v>
      </c>
      <c r="H51" s="2" t="b">
        <v>0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6">
        <f>COUNTIF(G51:M51,TRUE)/7</f>
        <v/>
      </c>
      <c r="O51" s="2" t="n"/>
    </row>
    <row r="52">
      <c r="A52" s="3" t="n">
        <v>46308</v>
      </c>
      <c r="B52" s="2" t="inlineStr">
        <is>
          <t>Tuesday</t>
        </is>
      </c>
      <c r="C52" s="2" t="n">
        <v>26</v>
      </c>
      <c r="D52" s="2" t="n">
        <v>53</v>
      </c>
      <c r="E52" s="2" t="n">
        <v>19</v>
      </c>
      <c r="F52" s="2" t="n">
        <v>68</v>
      </c>
      <c r="G52" s="2" t="b">
        <v>0</v>
      </c>
      <c r="H52" s="2" t="b">
        <v>0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6">
        <f>COUNTIF(G52:M52,TRUE)/7</f>
        <v/>
      </c>
      <c r="O52" s="2" t="n"/>
    </row>
    <row r="53">
      <c r="A53" s="3" t="n">
        <v>46309</v>
      </c>
      <c r="B53" s="2" t="inlineStr">
        <is>
          <t>Wednesday</t>
        </is>
      </c>
      <c r="C53" s="2" t="n">
        <v>25</v>
      </c>
      <c r="D53" s="2" t="n">
        <v>52</v>
      </c>
      <c r="E53" s="2" t="n">
        <v>18</v>
      </c>
      <c r="F53" s="2" t="n">
        <v>67</v>
      </c>
      <c r="G53" s="2" t="b">
        <v>0</v>
      </c>
      <c r="H53" s="2" t="b">
        <v>0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6">
        <f>COUNTIF(G53:M53,TRUE)/7</f>
        <v/>
      </c>
      <c r="O53" s="2" t="n"/>
    </row>
    <row r="54">
      <c r="A54" s="3" t="n">
        <v>46310</v>
      </c>
      <c r="B54" s="2" t="inlineStr">
        <is>
          <t>Thursday</t>
        </is>
      </c>
      <c r="C54" s="2" t="n">
        <v>24</v>
      </c>
      <c r="D54" s="2" t="n">
        <v>51</v>
      </c>
      <c r="E54" s="2" t="n">
        <v>17</v>
      </c>
      <c r="F54" s="2" t="n">
        <v>66</v>
      </c>
      <c r="G54" s="2" t="b">
        <v>0</v>
      </c>
      <c r="H54" s="2" t="b">
        <v>0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6">
        <f>COUNTIF(G54:M54,TRUE)/7</f>
        <v/>
      </c>
      <c r="O54" s="2" t="n"/>
    </row>
    <row r="55">
      <c r="A55" s="3" t="n">
        <v>46311</v>
      </c>
      <c r="B55" s="2" t="inlineStr">
        <is>
          <t>Friday</t>
        </is>
      </c>
      <c r="C55" s="2" t="n">
        <v>23</v>
      </c>
      <c r="D55" s="2" t="n">
        <v>50</v>
      </c>
      <c r="E55" s="2" t="n">
        <v>16</v>
      </c>
      <c r="F55" s="2" t="n">
        <v>65</v>
      </c>
      <c r="G55" s="2" t="b">
        <v>0</v>
      </c>
      <c r="H55" s="2" t="b">
        <v>0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6">
        <f>COUNTIF(G55:M55,TRUE)/7</f>
        <v/>
      </c>
      <c r="O55" s="2" t="n"/>
    </row>
    <row r="56">
      <c r="A56" s="3" t="n">
        <v>46312</v>
      </c>
      <c r="B56" s="2" t="inlineStr">
        <is>
          <t>Saturday</t>
        </is>
      </c>
      <c r="C56" s="2" t="n">
        <v>22</v>
      </c>
      <c r="D56" s="2" t="n">
        <v>49</v>
      </c>
      <c r="E56" s="2" t="n">
        <v>15</v>
      </c>
      <c r="F56" s="2" t="n">
        <v>64</v>
      </c>
      <c r="G56" s="2" t="b">
        <v>0</v>
      </c>
      <c r="H56" s="2" t="b">
        <v>0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6">
        <f>COUNTIF(G56:M56,TRUE)/7</f>
        <v/>
      </c>
      <c r="O56" s="2" t="n"/>
    </row>
    <row r="57">
      <c r="A57" s="7" t="n">
        <v>46313</v>
      </c>
      <c r="B57" s="8" t="inlineStr">
        <is>
          <t>Sunday</t>
        </is>
      </c>
      <c r="C57" s="8" t="n">
        <v>21</v>
      </c>
      <c r="D57" s="8" t="n">
        <v>48</v>
      </c>
      <c r="E57" s="8" t="n">
        <v>14</v>
      </c>
      <c r="F57" s="8" t="n">
        <v>63</v>
      </c>
      <c r="G57" s="8" t="b">
        <v>0</v>
      </c>
      <c r="H57" s="8" t="b">
        <v>0</v>
      </c>
      <c r="I57" s="8" t="b">
        <v>0</v>
      </c>
      <c r="J57" s="8" t="b">
        <v>0</v>
      </c>
      <c r="K57" s="8" t="b">
        <v>0</v>
      </c>
      <c r="L57" s="8" t="b">
        <v>0</v>
      </c>
      <c r="M57" s="8" t="b">
        <v>0</v>
      </c>
      <c r="N57" s="9">
        <f>COUNTIF(G57:M57,TRUE)/7</f>
        <v/>
      </c>
      <c r="O57" s="8" t="n"/>
    </row>
    <row r="58">
      <c r="A58" s="3" t="n">
        <v>46314</v>
      </c>
      <c r="B58" s="2" t="inlineStr">
        <is>
          <t>Monday</t>
        </is>
      </c>
      <c r="C58" s="2" t="n">
        <v>20</v>
      </c>
      <c r="D58" s="2" t="n">
        <v>47</v>
      </c>
      <c r="E58" s="2" t="n">
        <v>13</v>
      </c>
      <c r="F58" s="2" t="n">
        <v>62</v>
      </c>
      <c r="G58" s="2" t="b">
        <v>0</v>
      </c>
      <c r="H58" s="2" t="b">
        <v>0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6">
        <f>COUNTIF(G58:M58,TRUE)/7</f>
        <v/>
      </c>
      <c r="O58" s="2" t="n"/>
    </row>
    <row r="59">
      <c r="A59" s="3" t="n">
        <v>46315</v>
      </c>
      <c r="B59" s="2" t="inlineStr">
        <is>
          <t>Tuesday</t>
        </is>
      </c>
      <c r="C59" s="2" t="n">
        <v>19</v>
      </c>
      <c r="D59" s="2" t="n">
        <v>46</v>
      </c>
      <c r="E59" s="2" t="n">
        <v>12</v>
      </c>
      <c r="F59" s="2" t="n">
        <v>61</v>
      </c>
      <c r="G59" s="2" t="b">
        <v>0</v>
      </c>
      <c r="H59" s="2" t="b">
        <v>0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6">
        <f>COUNTIF(G59:M59,TRUE)/7</f>
        <v/>
      </c>
      <c r="O59" s="2" t="n"/>
    </row>
    <row r="60">
      <c r="A60" s="3" t="n">
        <v>46316</v>
      </c>
      <c r="B60" s="2" t="inlineStr">
        <is>
          <t>Wednesday</t>
        </is>
      </c>
      <c r="C60" s="2" t="n">
        <v>18</v>
      </c>
      <c r="D60" s="2" t="n">
        <v>45</v>
      </c>
      <c r="E60" s="2" t="n">
        <v>11</v>
      </c>
      <c r="F60" s="2" t="n">
        <v>60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6">
        <f>COUNTIF(G60:M60,TRUE)/7</f>
        <v/>
      </c>
      <c r="O60" s="2" t="n"/>
    </row>
    <row r="61">
      <c r="A61" s="3" t="n">
        <v>46317</v>
      </c>
      <c r="B61" s="2" t="inlineStr">
        <is>
          <t>Thursday</t>
        </is>
      </c>
      <c r="C61" s="2" t="n">
        <v>17</v>
      </c>
      <c r="D61" s="2" t="n">
        <v>44</v>
      </c>
      <c r="E61" s="2" t="n">
        <v>10</v>
      </c>
      <c r="F61" s="2" t="n">
        <v>59</v>
      </c>
      <c r="G61" s="2" t="b">
        <v>0</v>
      </c>
      <c r="H61" s="2" t="b">
        <v>0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6">
        <f>COUNTIF(G61:M61,TRUE)/7</f>
        <v/>
      </c>
      <c r="O61" s="2" t="n"/>
    </row>
    <row r="62">
      <c r="A62" s="3" t="n">
        <v>46318</v>
      </c>
      <c r="B62" s="2" t="inlineStr">
        <is>
          <t>Friday</t>
        </is>
      </c>
      <c r="C62" s="2" t="n">
        <v>16</v>
      </c>
      <c r="D62" s="2" t="n">
        <v>43</v>
      </c>
      <c r="E62" s="2" t="n">
        <v>9</v>
      </c>
      <c r="F62" s="2" t="n">
        <v>58</v>
      </c>
      <c r="G62" s="2" t="b">
        <v>0</v>
      </c>
      <c r="H62" s="2" t="b">
        <v>0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6">
        <f>COUNTIF(G62:M62,TRUE)/7</f>
        <v/>
      </c>
      <c r="O62" s="2" t="n"/>
    </row>
    <row r="63">
      <c r="A63" s="3" t="n">
        <v>46319</v>
      </c>
      <c r="B63" s="2" t="inlineStr">
        <is>
          <t>Saturday</t>
        </is>
      </c>
      <c r="C63" s="2" t="n">
        <v>15</v>
      </c>
      <c r="D63" s="2" t="n">
        <v>42</v>
      </c>
      <c r="E63" s="2" t="n">
        <v>8</v>
      </c>
      <c r="F63" s="2" t="n">
        <v>57</v>
      </c>
      <c r="G63" s="2" t="b">
        <v>0</v>
      </c>
      <c r="H63" s="2" t="b">
        <v>0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6">
        <f>COUNTIF(G63:M63,TRUE)/7</f>
        <v/>
      </c>
      <c r="O63" s="2" t="n"/>
    </row>
    <row r="64">
      <c r="A64" s="7" t="n">
        <v>46320</v>
      </c>
      <c r="B64" s="8" t="inlineStr">
        <is>
          <t>Sunday</t>
        </is>
      </c>
      <c r="C64" s="8" t="n">
        <v>14</v>
      </c>
      <c r="D64" s="8" t="n">
        <v>41</v>
      </c>
      <c r="E64" s="8" t="n">
        <v>7</v>
      </c>
      <c r="F64" s="8" t="n">
        <v>56</v>
      </c>
      <c r="G64" s="8" t="b">
        <v>0</v>
      </c>
      <c r="H64" s="8" t="b">
        <v>0</v>
      </c>
      <c r="I64" s="8" t="b">
        <v>0</v>
      </c>
      <c r="J64" s="8" t="b">
        <v>0</v>
      </c>
      <c r="K64" s="8" t="b">
        <v>0</v>
      </c>
      <c r="L64" s="8" t="b">
        <v>0</v>
      </c>
      <c r="M64" s="8" t="b">
        <v>0</v>
      </c>
      <c r="N64" s="9">
        <f>COUNTIF(G64:M64,TRUE)/7</f>
        <v/>
      </c>
      <c r="O64" s="8" t="n"/>
    </row>
    <row r="65">
      <c r="A65" s="3" t="n">
        <v>46321</v>
      </c>
      <c r="B65" s="2" t="inlineStr">
        <is>
          <t>Monday</t>
        </is>
      </c>
      <c r="C65" s="2" t="n">
        <v>13</v>
      </c>
      <c r="D65" s="2" t="n">
        <v>40</v>
      </c>
      <c r="E65" s="2" t="n">
        <v>6</v>
      </c>
      <c r="F65" s="2" t="n">
        <v>55</v>
      </c>
      <c r="G65" s="2" t="b">
        <v>0</v>
      </c>
      <c r="H65" s="2" t="b">
        <v>0</v>
      </c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6">
        <f>COUNTIF(G65:M65,TRUE)/7</f>
        <v/>
      </c>
      <c r="O65" s="2" t="n"/>
    </row>
    <row r="66">
      <c r="A66" s="3" t="n">
        <v>46322</v>
      </c>
      <c r="B66" s="2" t="inlineStr">
        <is>
          <t>Tuesday</t>
        </is>
      </c>
      <c r="C66" s="2" t="n">
        <v>12</v>
      </c>
      <c r="D66" s="2" t="n">
        <v>39</v>
      </c>
      <c r="E66" s="2" t="n">
        <v>5</v>
      </c>
      <c r="F66" s="2" t="n">
        <v>54</v>
      </c>
      <c r="G66" s="2" t="b">
        <v>0</v>
      </c>
      <c r="H66" s="2" t="b">
        <v>0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6">
        <f>COUNTIF(G66:M66,TRUE)/7</f>
        <v/>
      </c>
      <c r="O66" s="2" t="n"/>
    </row>
    <row r="67">
      <c r="A67" s="3" t="n">
        <v>46323</v>
      </c>
      <c r="B67" s="2" t="inlineStr">
        <is>
          <t>Wednesday</t>
        </is>
      </c>
      <c r="C67" s="2" t="n">
        <v>11</v>
      </c>
      <c r="D67" s="2" t="n">
        <v>38</v>
      </c>
      <c r="E67" s="2" t="n">
        <v>4</v>
      </c>
      <c r="F67" s="2" t="n">
        <v>53</v>
      </c>
      <c r="G67" s="2" t="b">
        <v>0</v>
      </c>
      <c r="H67" s="2" t="b">
        <v>0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6">
        <f>COUNTIF(G67:M67,TRUE)/7</f>
        <v/>
      </c>
      <c r="O67" s="2" t="n"/>
    </row>
    <row r="68">
      <c r="A68" s="3" t="n">
        <v>46324</v>
      </c>
      <c r="B68" s="2" t="inlineStr">
        <is>
          <t>Thursday</t>
        </is>
      </c>
      <c r="C68" s="2" t="n">
        <v>10</v>
      </c>
      <c r="D68" s="2" t="n">
        <v>37</v>
      </c>
      <c r="E68" s="2" t="n">
        <v>3</v>
      </c>
      <c r="F68" s="2" t="n">
        <v>52</v>
      </c>
      <c r="G68" s="2" t="b">
        <v>0</v>
      </c>
      <c r="H68" s="2" t="b">
        <v>0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6">
        <f>COUNTIF(G68:M68,TRUE)/7</f>
        <v/>
      </c>
      <c r="O68" s="2" t="n"/>
    </row>
    <row r="69">
      <c r="A69" s="3" t="n">
        <v>46325</v>
      </c>
      <c r="B69" s="2" t="inlineStr">
        <is>
          <t>Friday</t>
        </is>
      </c>
      <c r="C69" s="2" t="n">
        <v>9</v>
      </c>
      <c r="D69" s="2" t="n">
        <v>36</v>
      </c>
      <c r="E69" s="2" t="n">
        <v>2</v>
      </c>
      <c r="F69" s="2" t="n">
        <v>51</v>
      </c>
      <c r="G69" s="2" t="b">
        <v>0</v>
      </c>
      <c r="H69" s="2" t="b">
        <v>0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6">
        <f>COUNTIF(G69:M69,TRUE)/7</f>
        <v/>
      </c>
      <c r="O69" s="2" t="n"/>
    </row>
    <row r="70">
      <c r="A70" s="3" t="n">
        <v>46326</v>
      </c>
      <c r="B70" s="2" t="inlineStr">
        <is>
          <t>Saturday</t>
        </is>
      </c>
      <c r="C70" s="2" t="n">
        <v>8</v>
      </c>
      <c r="D70" s="2" t="n">
        <v>35</v>
      </c>
      <c r="E70" s="2" t="n">
        <v>1</v>
      </c>
      <c r="F70" s="2" t="n">
        <v>50</v>
      </c>
      <c r="G70" s="2" t="b">
        <v>0</v>
      </c>
      <c r="H70" s="2" t="b">
        <v>0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6">
        <f>COUNTIF(G70:M70,TRUE)/7</f>
        <v/>
      </c>
      <c r="O70" s="2" t="n"/>
    </row>
    <row r="71">
      <c r="A71" s="7" t="n">
        <v>46327</v>
      </c>
      <c r="B71" s="8" t="inlineStr">
        <is>
          <t>Sunday</t>
        </is>
      </c>
      <c r="C71" s="8" t="n">
        <v>7</v>
      </c>
      <c r="D71" s="8" t="n">
        <v>34</v>
      </c>
      <c r="E71" s="8" t="n">
        <v>0</v>
      </c>
      <c r="F71" s="8" t="n">
        <v>49</v>
      </c>
      <c r="G71" s="8" t="b">
        <v>0</v>
      </c>
      <c r="H71" s="8" t="b">
        <v>0</v>
      </c>
      <c r="I71" s="8" t="b">
        <v>0</v>
      </c>
      <c r="J71" s="8" t="b">
        <v>0</v>
      </c>
      <c r="K71" s="8" t="b">
        <v>0</v>
      </c>
      <c r="L71" s="8" t="b">
        <v>0</v>
      </c>
      <c r="M71" s="8" t="b">
        <v>0</v>
      </c>
      <c r="N71" s="9">
        <f>COUNTIF(G71:M71,TRUE)/7</f>
        <v/>
      </c>
      <c r="O71" s="8" t="n"/>
    </row>
    <row r="72">
      <c r="A72" s="3" t="n">
        <v>46328</v>
      </c>
      <c r="B72" s="2" t="inlineStr">
        <is>
          <t>Monday</t>
        </is>
      </c>
      <c r="C72" s="2" t="n">
        <v>6</v>
      </c>
      <c r="D72" s="2" t="n">
        <v>33</v>
      </c>
      <c r="E72" s="2" t="n">
        <v>0</v>
      </c>
      <c r="F72" s="2" t="n">
        <v>48</v>
      </c>
      <c r="G72" s="2" t="b">
        <v>0</v>
      </c>
      <c r="H72" s="2" t="b">
        <v>0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6">
        <f>COUNTIF(G72:M72,TRUE)/7</f>
        <v/>
      </c>
      <c r="O72" s="2" t="n"/>
    </row>
    <row r="73">
      <c r="A73" s="3" t="n">
        <v>46329</v>
      </c>
      <c r="B73" s="2" t="inlineStr">
        <is>
          <t>Tuesday</t>
        </is>
      </c>
      <c r="C73" s="2" t="n">
        <v>5</v>
      </c>
      <c r="D73" s="2" t="n">
        <v>32</v>
      </c>
      <c r="E73" s="2" t="n">
        <v>0</v>
      </c>
      <c r="F73" s="2" t="n">
        <v>47</v>
      </c>
      <c r="G73" s="2" t="b">
        <v>0</v>
      </c>
      <c r="H73" s="2" t="b">
        <v>0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6">
        <f>COUNTIF(G73:M73,TRUE)/7</f>
        <v/>
      </c>
      <c r="O73" s="2" t="n"/>
    </row>
    <row r="74">
      <c r="A74" s="3" t="n">
        <v>46330</v>
      </c>
      <c r="B74" s="2" t="inlineStr">
        <is>
          <t>Wednesday</t>
        </is>
      </c>
      <c r="C74" s="2" t="n">
        <v>4</v>
      </c>
      <c r="D74" s="2" t="n">
        <v>31</v>
      </c>
      <c r="E74" s="2" t="n">
        <v>0</v>
      </c>
      <c r="F74" s="2" t="n">
        <v>46</v>
      </c>
      <c r="G74" s="2" t="b">
        <v>0</v>
      </c>
      <c r="H74" s="2" t="b">
        <v>0</v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6">
        <f>COUNTIF(G74:M74,TRUE)/7</f>
        <v/>
      </c>
      <c r="O74" s="2" t="n"/>
    </row>
    <row r="75">
      <c r="A75" s="3" t="n">
        <v>46331</v>
      </c>
      <c r="B75" s="2" t="inlineStr">
        <is>
          <t>Thursday</t>
        </is>
      </c>
      <c r="C75" s="2" t="n">
        <v>3</v>
      </c>
      <c r="D75" s="2" t="n">
        <v>30</v>
      </c>
      <c r="E75" s="2" t="n">
        <v>0</v>
      </c>
      <c r="F75" s="2" t="n">
        <v>45</v>
      </c>
      <c r="G75" s="2" t="b">
        <v>0</v>
      </c>
      <c r="H75" s="2" t="b">
        <v>0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6">
        <f>COUNTIF(G75:M75,TRUE)/7</f>
        <v/>
      </c>
      <c r="O75" s="2" t="n"/>
    </row>
    <row r="76">
      <c r="A76" s="3" t="n">
        <v>46332</v>
      </c>
      <c r="B76" s="2" t="inlineStr">
        <is>
          <t>Friday</t>
        </is>
      </c>
      <c r="C76" s="2" t="n">
        <v>2</v>
      </c>
      <c r="D76" s="2" t="n">
        <v>29</v>
      </c>
      <c r="E76" s="2" t="n">
        <v>0</v>
      </c>
      <c r="F76" s="2" t="n">
        <v>44</v>
      </c>
      <c r="G76" s="2" t="b">
        <v>0</v>
      </c>
      <c r="H76" s="2" t="b">
        <v>0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6">
        <f>COUNTIF(G76:M76,TRUE)/7</f>
        <v/>
      </c>
      <c r="O76" s="2" t="n"/>
    </row>
    <row r="77">
      <c r="A77" s="3" t="n">
        <v>46333</v>
      </c>
      <c r="B77" s="2" t="inlineStr">
        <is>
          <t>Saturday</t>
        </is>
      </c>
      <c r="C77" s="2" t="n">
        <v>1</v>
      </c>
      <c r="D77" s="2" t="n">
        <v>28</v>
      </c>
      <c r="E77" s="2" t="n">
        <v>0</v>
      </c>
      <c r="F77" s="2" t="n">
        <v>43</v>
      </c>
      <c r="G77" s="2" t="b">
        <v>0</v>
      </c>
      <c r="H77" s="2" t="b">
        <v>0</v>
      </c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6">
        <f>COUNTIF(G77:M77,TRUE)/7</f>
        <v/>
      </c>
      <c r="O77" s="2" t="n"/>
    </row>
    <row r="78">
      <c r="A78" s="7" t="n">
        <v>46334</v>
      </c>
      <c r="B78" s="8" t="inlineStr">
        <is>
          <t>Sunday</t>
        </is>
      </c>
      <c r="C78" s="8" t="n">
        <v>0</v>
      </c>
      <c r="D78" s="8" t="n">
        <v>27</v>
      </c>
      <c r="E78" s="8" t="n">
        <v>0</v>
      </c>
      <c r="F78" s="8" t="n">
        <v>42</v>
      </c>
      <c r="G78" s="8" t="b">
        <v>0</v>
      </c>
      <c r="H78" s="8" t="b">
        <v>0</v>
      </c>
      <c r="I78" s="8" t="b">
        <v>0</v>
      </c>
      <c r="J78" s="8" t="b">
        <v>0</v>
      </c>
      <c r="K78" s="8" t="b">
        <v>0</v>
      </c>
      <c r="L78" s="8" t="b">
        <v>0</v>
      </c>
      <c r="M78" s="8" t="b">
        <v>0</v>
      </c>
      <c r="N78" s="9">
        <f>COUNTIF(G78:M78,TRUE)/7</f>
        <v/>
      </c>
      <c r="O78" s="8" t="n"/>
    </row>
    <row r="79">
      <c r="A79" s="3" t="n">
        <v>46335</v>
      </c>
      <c r="B79" s="2" t="inlineStr">
        <is>
          <t>Monday</t>
        </is>
      </c>
      <c r="C79" s="2" t="n">
        <v>0</v>
      </c>
      <c r="D79" s="2" t="n">
        <v>26</v>
      </c>
      <c r="E79" s="2" t="n">
        <v>0</v>
      </c>
      <c r="F79" s="2" t="n">
        <v>41</v>
      </c>
      <c r="G79" s="2" t="b">
        <v>0</v>
      </c>
      <c r="H79" s="2" t="b">
        <v>0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6">
        <f>COUNTIF(G79:M79,TRUE)/7</f>
        <v/>
      </c>
      <c r="O79" s="2" t="n"/>
    </row>
    <row r="80">
      <c r="A80" s="3" t="n">
        <v>46336</v>
      </c>
      <c r="B80" s="2" t="inlineStr">
        <is>
          <t>Tuesday</t>
        </is>
      </c>
      <c r="C80" s="2" t="n">
        <v>0</v>
      </c>
      <c r="D80" s="2" t="n">
        <v>25</v>
      </c>
      <c r="E80" s="2" t="n">
        <v>0</v>
      </c>
      <c r="F80" s="2" t="n">
        <v>40</v>
      </c>
      <c r="G80" s="2" t="b">
        <v>0</v>
      </c>
      <c r="H80" s="2" t="b">
        <v>0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6">
        <f>COUNTIF(G80:M80,TRUE)/7</f>
        <v/>
      </c>
      <c r="O80" s="2" t="n"/>
    </row>
    <row r="81">
      <c r="A81" s="3" t="n">
        <v>46337</v>
      </c>
      <c r="B81" s="2" t="inlineStr">
        <is>
          <t>Wednesday</t>
        </is>
      </c>
      <c r="C81" s="2" t="n">
        <v>0</v>
      </c>
      <c r="D81" s="2" t="n">
        <v>24</v>
      </c>
      <c r="E81" s="2" t="n">
        <v>0</v>
      </c>
      <c r="F81" s="2" t="n">
        <v>39</v>
      </c>
      <c r="G81" s="2" t="b">
        <v>0</v>
      </c>
      <c r="H81" s="2" t="b">
        <v>0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6">
        <f>COUNTIF(G81:M81,TRUE)/7</f>
        <v/>
      </c>
      <c r="O81" s="2" t="n"/>
    </row>
    <row r="82">
      <c r="A82" s="3" t="n">
        <v>46338</v>
      </c>
      <c r="B82" s="2" t="inlineStr">
        <is>
          <t>Thursday</t>
        </is>
      </c>
      <c r="C82" s="2" t="n">
        <v>0</v>
      </c>
      <c r="D82" s="2" t="n">
        <v>23</v>
      </c>
      <c r="E82" s="2" t="n">
        <v>0</v>
      </c>
      <c r="F82" s="2" t="n">
        <v>38</v>
      </c>
      <c r="G82" s="2" t="b">
        <v>0</v>
      </c>
      <c r="H82" s="2" t="b">
        <v>0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6">
        <f>COUNTIF(G82:M82,TRUE)/7</f>
        <v/>
      </c>
      <c r="O82" s="2" t="n"/>
    </row>
    <row r="83">
      <c r="A83" s="3" t="n">
        <v>46339</v>
      </c>
      <c r="B83" s="2" t="inlineStr">
        <is>
          <t>Friday</t>
        </is>
      </c>
      <c r="C83" s="2" t="n">
        <v>0</v>
      </c>
      <c r="D83" s="2" t="n">
        <v>22</v>
      </c>
      <c r="E83" s="2" t="n">
        <v>0</v>
      </c>
      <c r="F83" s="2" t="n">
        <v>37</v>
      </c>
      <c r="G83" s="2" t="b">
        <v>0</v>
      </c>
      <c r="H83" s="2" t="b">
        <v>0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6">
        <f>COUNTIF(G83:M83,TRUE)/7</f>
        <v/>
      </c>
      <c r="O83" s="2" t="n"/>
    </row>
    <row r="84">
      <c r="A84" s="3" t="n">
        <v>46340</v>
      </c>
      <c r="B84" s="2" t="inlineStr">
        <is>
          <t>Saturday</t>
        </is>
      </c>
      <c r="C84" s="2" t="n">
        <v>0</v>
      </c>
      <c r="D84" s="2" t="n">
        <v>21</v>
      </c>
      <c r="E84" s="2" t="n">
        <v>0</v>
      </c>
      <c r="F84" s="2" t="n">
        <v>36</v>
      </c>
      <c r="G84" s="2" t="b">
        <v>0</v>
      </c>
      <c r="H84" s="2" t="b">
        <v>0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6">
        <f>COUNTIF(G84:M84,TRUE)/7</f>
        <v/>
      </c>
      <c r="O84" s="2" t="n"/>
    </row>
    <row r="85">
      <c r="A85" s="7" t="n">
        <v>46341</v>
      </c>
      <c r="B85" s="8" t="inlineStr">
        <is>
          <t>Sunday</t>
        </is>
      </c>
      <c r="C85" s="8" t="n">
        <v>0</v>
      </c>
      <c r="D85" s="8" t="n">
        <v>20</v>
      </c>
      <c r="E85" s="8" t="n">
        <v>0</v>
      </c>
      <c r="F85" s="8" t="n">
        <v>35</v>
      </c>
      <c r="G85" s="8" t="b">
        <v>0</v>
      </c>
      <c r="H85" s="8" t="b">
        <v>0</v>
      </c>
      <c r="I85" s="8" t="b">
        <v>0</v>
      </c>
      <c r="J85" s="8" t="b">
        <v>0</v>
      </c>
      <c r="K85" s="8" t="b">
        <v>0</v>
      </c>
      <c r="L85" s="8" t="b">
        <v>0</v>
      </c>
      <c r="M85" s="8" t="b">
        <v>0</v>
      </c>
      <c r="N85" s="9">
        <f>COUNTIF(G85:M85,TRUE)/7</f>
        <v/>
      </c>
      <c r="O85" s="8" t="n"/>
    </row>
    <row r="86">
      <c r="A86" s="3" t="n">
        <v>46342</v>
      </c>
      <c r="B86" s="2" t="inlineStr">
        <is>
          <t>Monday</t>
        </is>
      </c>
      <c r="C86" s="2" t="n">
        <v>0</v>
      </c>
      <c r="D86" s="2" t="n">
        <v>19</v>
      </c>
      <c r="E86" s="2" t="n">
        <v>0</v>
      </c>
      <c r="F86" s="2" t="n">
        <v>34</v>
      </c>
      <c r="G86" s="2" t="b">
        <v>0</v>
      </c>
      <c r="H86" s="2" t="b">
        <v>0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6">
        <f>COUNTIF(G86:M86,TRUE)/7</f>
        <v/>
      </c>
      <c r="O86" s="2" t="n"/>
    </row>
    <row r="87">
      <c r="A87" s="3" t="n">
        <v>46343</v>
      </c>
      <c r="B87" s="2" t="inlineStr">
        <is>
          <t>Tuesday</t>
        </is>
      </c>
      <c r="C87" s="2" t="n">
        <v>0</v>
      </c>
      <c r="D87" s="2" t="n">
        <v>18</v>
      </c>
      <c r="E87" s="2" t="n">
        <v>0</v>
      </c>
      <c r="F87" s="2" t="n">
        <v>33</v>
      </c>
      <c r="G87" s="2" t="b">
        <v>0</v>
      </c>
      <c r="H87" s="2" t="b">
        <v>0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6">
        <f>COUNTIF(G87:M87,TRUE)/7</f>
        <v/>
      </c>
      <c r="O87" s="2" t="n"/>
    </row>
    <row r="88">
      <c r="A88" s="3" t="n">
        <v>46344</v>
      </c>
      <c r="B88" s="2" t="inlineStr">
        <is>
          <t>Wednesday</t>
        </is>
      </c>
      <c r="C88" s="2" t="n">
        <v>0</v>
      </c>
      <c r="D88" s="2" t="n">
        <v>17</v>
      </c>
      <c r="E88" s="2" t="n">
        <v>0</v>
      </c>
      <c r="F88" s="2" t="n">
        <v>32</v>
      </c>
      <c r="G88" s="2" t="b">
        <v>0</v>
      </c>
      <c r="H88" s="2" t="b">
        <v>0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6">
        <f>COUNTIF(G88:M88,TRUE)/7</f>
        <v/>
      </c>
      <c r="O88" s="2" t="n"/>
    </row>
    <row r="89">
      <c r="A89" s="3" t="n">
        <v>46345</v>
      </c>
      <c r="B89" s="2" t="inlineStr">
        <is>
          <t>Thursday</t>
        </is>
      </c>
      <c r="C89" s="2" t="n">
        <v>0</v>
      </c>
      <c r="D89" s="2" t="n">
        <v>16</v>
      </c>
      <c r="E89" s="2" t="n">
        <v>0</v>
      </c>
      <c r="F89" s="2" t="n">
        <v>31</v>
      </c>
      <c r="G89" s="2" t="b">
        <v>0</v>
      </c>
      <c r="H89" s="2" t="b">
        <v>0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6">
        <f>COUNTIF(G89:M89,TRUE)/7</f>
        <v/>
      </c>
      <c r="O89" s="2" t="n"/>
    </row>
    <row r="90">
      <c r="A90" s="3" t="n">
        <v>46346</v>
      </c>
      <c r="B90" s="2" t="inlineStr">
        <is>
          <t>Friday</t>
        </is>
      </c>
      <c r="C90" s="2" t="n">
        <v>0</v>
      </c>
      <c r="D90" s="2" t="n">
        <v>15</v>
      </c>
      <c r="E90" s="2" t="n">
        <v>0</v>
      </c>
      <c r="F90" s="2" t="n">
        <v>30</v>
      </c>
      <c r="G90" s="2" t="b">
        <v>0</v>
      </c>
      <c r="H90" s="2" t="b">
        <v>0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6">
        <f>COUNTIF(G90:M90,TRUE)/7</f>
        <v/>
      </c>
      <c r="O90" s="2" t="n"/>
    </row>
    <row r="91">
      <c r="A91" s="3" t="n">
        <v>46347</v>
      </c>
      <c r="B91" s="2" t="inlineStr">
        <is>
          <t>Saturday</t>
        </is>
      </c>
      <c r="C91" s="2" t="n">
        <v>0</v>
      </c>
      <c r="D91" s="2" t="n">
        <v>14</v>
      </c>
      <c r="E91" s="2" t="n">
        <v>0</v>
      </c>
      <c r="F91" s="2" t="n">
        <v>29</v>
      </c>
      <c r="G91" s="2" t="b">
        <v>0</v>
      </c>
      <c r="H91" s="2" t="b">
        <v>0</v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6">
        <f>COUNTIF(G91:M91,TRUE)/7</f>
        <v/>
      </c>
      <c r="O91" s="2" t="n"/>
    </row>
    <row r="92">
      <c r="A92" s="7" t="n">
        <v>46348</v>
      </c>
      <c r="B92" s="8" t="inlineStr">
        <is>
          <t>Sunday</t>
        </is>
      </c>
      <c r="C92" s="8" t="n">
        <v>0</v>
      </c>
      <c r="D92" s="8" t="n">
        <v>13</v>
      </c>
      <c r="E92" s="8" t="n">
        <v>0</v>
      </c>
      <c r="F92" s="8" t="n">
        <v>28</v>
      </c>
      <c r="G92" s="8" t="b">
        <v>0</v>
      </c>
      <c r="H92" s="8" t="b">
        <v>0</v>
      </c>
      <c r="I92" s="8" t="b">
        <v>0</v>
      </c>
      <c r="J92" s="8" t="b">
        <v>0</v>
      </c>
      <c r="K92" s="8" t="b">
        <v>0</v>
      </c>
      <c r="L92" s="8" t="b">
        <v>0</v>
      </c>
      <c r="M92" s="8" t="b">
        <v>0</v>
      </c>
      <c r="N92" s="9">
        <f>COUNTIF(G92:M92,TRUE)/7</f>
        <v/>
      </c>
      <c r="O92" s="8" t="n"/>
    </row>
    <row r="93">
      <c r="A93" s="3" t="n">
        <v>46349</v>
      </c>
      <c r="B93" s="2" t="inlineStr">
        <is>
          <t>Monday</t>
        </is>
      </c>
      <c r="C93" s="2" t="n">
        <v>0</v>
      </c>
      <c r="D93" s="2" t="n">
        <v>12</v>
      </c>
      <c r="E93" s="2" t="n">
        <v>0</v>
      </c>
      <c r="F93" s="2" t="n">
        <v>27</v>
      </c>
      <c r="G93" s="2" t="b">
        <v>0</v>
      </c>
      <c r="H93" s="2" t="b">
        <v>0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6">
        <f>COUNTIF(G93:M93,TRUE)/7</f>
        <v/>
      </c>
      <c r="O93" s="2" t="n"/>
    </row>
    <row r="94">
      <c r="A94" s="3" t="n">
        <v>46350</v>
      </c>
      <c r="B94" s="2" t="inlineStr">
        <is>
          <t>Tuesday</t>
        </is>
      </c>
      <c r="C94" s="2" t="n">
        <v>0</v>
      </c>
      <c r="D94" s="2" t="n">
        <v>11</v>
      </c>
      <c r="E94" s="2" t="n">
        <v>0</v>
      </c>
      <c r="F94" s="2" t="n">
        <v>26</v>
      </c>
      <c r="G94" s="2" t="b">
        <v>0</v>
      </c>
      <c r="H94" s="2" t="b">
        <v>0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6">
        <f>COUNTIF(G94:M94,TRUE)/7</f>
        <v/>
      </c>
      <c r="O94" s="2" t="n"/>
    </row>
    <row r="95">
      <c r="A95" s="3" t="n">
        <v>46351</v>
      </c>
      <c r="B95" s="2" t="inlineStr">
        <is>
          <t>Wednesday</t>
        </is>
      </c>
      <c r="C95" s="2" t="n">
        <v>0</v>
      </c>
      <c r="D95" s="2" t="n">
        <v>10</v>
      </c>
      <c r="E95" s="2" t="n">
        <v>0</v>
      </c>
      <c r="F95" s="2" t="n">
        <v>25</v>
      </c>
      <c r="G95" s="2" t="b">
        <v>0</v>
      </c>
      <c r="H95" s="2" t="b">
        <v>0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6">
        <f>COUNTIF(G95:M95,TRUE)/7</f>
        <v/>
      </c>
      <c r="O95" s="2" t="n"/>
    </row>
    <row r="96">
      <c r="A96" s="3" t="n">
        <v>46352</v>
      </c>
      <c r="B96" s="2" t="inlineStr">
        <is>
          <t>Thursday</t>
        </is>
      </c>
      <c r="C96" s="2" t="n">
        <v>0</v>
      </c>
      <c r="D96" s="2" t="n">
        <v>9</v>
      </c>
      <c r="E96" s="2" t="n">
        <v>0</v>
      </c>
      <c r="F96" s="2" t="n">
        <v>24</v>
      </c>
      <c r="G96" s="2" t="b">
        <v>0</v>
      </c>
      <c r="H96" s="2" t="b">
        <v>0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6">
        <f>COUNTIF(G96:M96,TRUE)/7</f>
        <v/>
      </c>
      <c r="O96" s="2" t="n"/>
    </row>
    <row r="97">
      <c r="A97" s="3" t="n">
        <v>46353</v>
      </c>
      <c r="B97" s="2" t="inlineStr">
        <is>
          <t>Friday</t>
        </is>
      </c>
      <c r="C97" s="2" t="n">
        <v>0</v>
      </c>
      <c r="D97" s="2" t="n">
        <v>8</v>
      </c>
      <c r="E97" s="2" t="n">
        <v>0</v>
      </c>
      <c r="F97" s="2" t="n">
        <v>23</v>
      </c>
      <c r="G97" s="2" t="b">
        <v>0</v>
      </c>
      <c r="H97" s="2" t="b">
        <v>0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6">
        <f>COUNTIF(G97:M97,TRUE)/7</f>
        <v/>
      </c>
      <c r="O97" s="2" t="n"/>
    </row>
    <row r="98">
      <c r="A98" s="3" t="n">
        <v>46354</v>
      </c>
      <c r="B98" s="2" t="inlineStr">
        <is>
          <t>Saturday</t>
        </is>
      </c>
      <c r="C98" s="2" t="n">
        <v>0</v>
      </c>
      <c r="D98" s="2" t="n">
        <v>7</v>
      </c>
      <c r="E98" s="2" t="n">
        <v>0</v>
      </c>
      <c r="F98" s="2" t="n">
        <v>22</v>
      </c>
      <c r="G98" s="2" t="b">
        <v>0</v>
      </c>
      <c r="H98" s="2" t="b">
        <v>0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6">
        <f>COUNTIF(G98:M98,TRUE)/7</f>
        <v/>
      </c>
      <c r="O98" s="2" t="n"/>
    </row>
    <row r="99">
      <c r="A99" s="7" t="n">
        <v>46355</v>
      </c>
      <c r="B99" s="8" t="inlineStr">
        <is>
          <t>Sunday</t>
        </is>
      </c>
      <c r="C99" s="8" t="n">
        <v>0</v>
      </c>
      <c r="D99" s="8" t="n">
        <v>6</v>
      </c>
      <c r="E99" s="8" t="n">
        <v>0</v>
      </c>
      <c r="F99" s="8" t="n">
        <v>21</v>
      </c>
      <c r="G99" s="8" t="b">
        <v>0</v>
      </c>
      <c r="H99" s="8" t="b">
        <v>0</v>
      </c>
      <c r="I99" s="8" t="b">
        <v>0</v>
      </c>
      <c r="J99" s="8" t="b">
        <v>0</v>
      </c>
      <c r="K99" s="8" t="b">
        <v>0</v>
      </c>
      <c r="L99" s="8" t="b">
        <v>0</v>
      </c>
      <c r="M99" s="8" t="b">
        <v>0</v>
      </c>
      <c r="N99" s="9">
        <f>COUNTIF(G99:M99,TRUE)/7</f>
        <v/>
      </c>
      <c r="O99" s="8" t="n"/>
    </row>
    <row r="100">
      <c r="A100" s="3" t="n">
        <v>46356</v>
      </c>
      <c r="B100" s="2" t="inlineStr">
        <is>
          <t>Monday</t>
        </is>
      </c>
      <c r="C100" s="2" t="n">
        <v>0</v>
      </c>
      <c r="D100" s="2" t="n">
        <v>5</v>
      </c>
      <c r="E100" s="2" t="n">
        <v>0</v>
      </c>
      <c r="F100" s="2" t="n">
        <v>20</v>
      </c>
      <c r="G100" s="2" t="b">
        <v>0</v>
      </c>
      <c r="H100" s="2" t="b">
        <v>0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6">
        <f>COUNTIF(G100:M100,TRUE)/7</f>
        <v/>
      </c>
      <c r="O100" s="2" t="n"/>
    </row>
    <row r="101">
      <c r="A101" s="3" t="n">
        <v>46357</v>
      </c>
      <c r="B101" s="2" t="inlineStr">
        <is>
          <t>Tuesday</t>
        </is>
      </c>
      <c r="C101" s="2" t="n">
        <v>0</v>
      </c>
      <c r="D101" s="2" t="n">
        <v>4</v>
      </c>
      <c r="E101" s="2" t="n">
        <v>0</v>
      </c>
      <c r="F101" s="2" t="n">
        <v>19</v>
      </c>
      <c r="G101" s="2" t="b">
        <v>0</v>
      </c>
      <c r="H101" s="2" t="b">
        <v>0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6">
        <f>COUNTIF(G101:M101,TRUE)/7</f>
        <v/>
      </c>
      <c r="O101" s="2" t="n"/>
    </row>
    <row r="102">
      <c r="A102" s="3" t="n">
        <v>46358</v>
      </c>
      <c r="B102" s="2" t="inlineStr">
        <is>
          <t>Wednesday</t>
        </is>
      </c>
      <c r="C102" s="2" t="n">
        <v>0</v>
      </c>
      <c r="D102" s="2" t="n">
        <v>3</v>
      </c>
      <c r="E102" s="2" t="n">
        <v>0</v>
      </c>
      <c r="F102" s="2" t="n">
        <v>18</v>
      </c>
      <c r="G102" s="2" t="b">
        <v>0</v>
      </c>
      <c r="H102" s="2" t="b">
        <v>0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6">
        <f>COUNTIF(G102:M102,TRUE)/7</f>
        <v/>
      </c>
      <c r="O102" s="2" t="n"/>
    </row>
    <row r="103">
      <c r="A103" s="3" t="n">
        <v>46359</v>
      </c>
      <c r="B103" s="2" t="inlineStr">
        <is>
          <t>Thursday</t>
        </is>
      </c>
      <c r="C103" s="2" t="n">
        <v>0</v>
      </c>
      <c r="D103" s="2" t="n">
        <v>2</v>
      </c>
      <c r="E103" s="2" t="n">
        <v>0</v>
      </c>
      <c r="F103" s="2" t="n">
        <v>17</v>
      </c>
      <c r="G103" s="2" t="b">
        <v>0</v>
      </c>
      <c r="H103" s="2" t="b">
        <v>0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6">
        <f>COUNTIF(G103:M103,TRUE)/7</f>
        <v/>
      </c>
      <c r="O103" s="2" t="n"/>
    </row>
    <row r="104">
      <c r="A104" s="3" t="n">
        <v>46360</v>
      </c>
      <c r="B104" s="2" t="inlineStr">
        <is>
          <t>Friday</t>
        </is>
      </c>
      <c r="C104" s="2" t="n">
        <v>0</v>
      </c>
      <c r="D104" s="2" t="n">
        <v>1</v>
      </c>
      <c r="E104" s="2" t="n">
        <v>0</v>
      </c>
      <c r="F104" s="2" t="n">
        <v>16</v>
      </c>
      <c r="G104" s="2" t="b">
        <v>0</v>
      </c>
      <c r="H104" s="2" t="b">
        <v>0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6">
        <f>COUNTIF(G104:M104,TRUE)/7</f>
        <v/>
      </c>
      <c r="O104" s="2" t="n"/>
    </row>
    <row r="105">
      <c r="A105" s="3" t="n">
        <v>46361</v>
      </c>
      <c r="B105" s="2" t="inlineStr">
        <is>
          <t>Saturday</t>
        </is>
      </c>
      <c r="C105" s="2" t="n">
        <v>0</v>
      </c>
      <c r="D105" s="2" t="n">
        <v>0</v>
      </c>
      <c r="E105" s="2" t="n">
        <v>0</v>
      </c>
      <c r="F105" s="2" t="n">
        <v>15</v>
      </c>
      <c r="G105" s="2" t="b">
        <v>0</v>
      </c>
      <c r="H105" s="2" t="b">
        <v>0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6">
        <f>COUNTIF(G105:M105,TRUE)/7</f>
        <v/>
      </c>
      <c r="O105" s="2" t="n"/>
    </row>
    <row r="106">
      <c r="A106" s="7" t="n">
        <v>46362</v>
      </c>
      <c r="B106" s="8" t="inlineStr">
        <is>
          <t>Sunday</t>
        </is>
      </c>
      <c r="C106" s="8" t="n">
        <v>0</v>
      </c>
      <c r="D106" s="8" t="n">
        <v>0</v>
      </c>
      <c r="E106" s="8" t="n">
        <v>0</v>
      </c>
      <c r="F106" s="8" t="n">
        <v>14</v>
      </c>
      <c r="G106" s="8" t="b">
        <v>0</v>
      </c>
      <c r="H106" s="8" t="b">
        <v>0</v>
      </c>
      <c r="I106" s="8" t="b">
        <v>0</v>
      </c>
      <c r="J106" s="8" t="b">
        <v>0</v>
      </c>
      <c r="K106" s="8" t="b">
        <v>0</v>
      </c>
      <c r="L106" s="8" t="b">
        <v>0</v>
      </c>
      <c r="M106" s="8" t="b">
        <v>0</v>
      </c>
      <c r="N106" s="9">
        <f>COUNTIF(G106:M106,TRUE)/7</f>
        <v/>
      </c>
      <c r="O106" s="8" t="n"/>
    </row>
    <row r="107">
      <c r="A107" s="3" t="n">
        <v>46363</v>
      </c>
      <c r="B107" s="2" t="inlineStr">
        <is>
          <t>Monday</t>
        </is>
      </c>
      <c r="C107" s="2" t="n">
        <v>0</v>
      </c>
      <c r="D107" s="2" t="n">
        <v>0</v>
      </c>
      <c r="E107" s="2" t="n">
        <v>0</v>
      </c>
      <c r="F107" s="2" t="n">
        <v>13</v>
      </c>
      <c r="G107" s="2" t="b">
        <v>0</v>
      </c>
      <c r="H107" s="2" t="b">
        <v>0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6">
        <f>COUNTIF(G107:M107,TRUE)/7</f>
        <v/>
      </c>
      <c r="O107" s="2" t="n"/>
    </row>
    <row r="108">
      <c r="A108" s="3" t="n">
        <v>46364</v>
      </c>
      <c r="B108" s="2" t="inlineStr">
        <is>
          <t>Tuesday</t>
        </is>
      </c>
      <c r="C108" s="2" t="n">
        <v>0</v>
      </c>
      <c r="D108" s="2" t="n">
        <v>0</v>
      </c>
      <c r="E108" s="2" t="n">
        <v>0</v>
      </c>
      <c r="F108" s="2" t="n">
        <v>12</v>
      </c>
      <c r="G108" s="2" t="b">
        <v>0</v>
      </c>
      <c r="H108" s="2" t="b">
        <v>0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6">
        <f>COUNTIF(G108:M108,TRUE)/7</f>
        <v/>
      </c>
      <c r="O108" s="2" t="n"/>
    </row>
    <row r="109">
      <c r="A109" s="3" t="n">
        <v>46365</v>
      </c>
      <c r="B109" s="2" t="inlineStr">
        <is>
          <t>Wednesday</t>
        </is>
      </c>
      <c r="C109" s="2" t="n">
        <v>0</v>
      </c>
      <c r="D109" s="2" t="n">
        <v>0</v>
      </c>
      <c r="E109" s="2" t="n">
        <v>0</v>
      </c>
      <c r="F109" s="2" t="n">
        <v>11</v>
      </c>
      <c r="G109" s="2" t="b">
        <v>0</v>
      </c>
      <c r="H109" s="2" t="b">
        <v>0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6">
        <f>COUNTIF(G109:M109,TRUE)/7</f>
        <v/>
      </c>
      <c r="O109" s="2" t="n"/>
    </row>
    <row r="110">
      <c r="A110" s="3" t="n">
        <v>46366</v>
      </c>
      <c r="B110" s="2" t="inlineStr">
        <is>
          <t>Thursday</t>
        </is>
      </c>
      <c r="C110" s="2" t="n">
        <v>0</v>
      </c>
      <c r="D110" s="2" t="n">
        <v>0</v>
      </c>
      <c r="E110" s="2" t="n">
        <v>0</v>
      </c>
      <c r="F110" s="2" t="n">
        <v>10</v>
      </c>
      <c r="G110" s="2" t="b">
        <v>0</v>
      </c>
      <c r="H110" s="2" t="b">
        <v>0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6">
        <f>COUNTIF(G110:M110,TRUE)/7</f>
        <v/>
      </c>
      <c r="O110" s="2" t="n"/>
    </row>
    <row r="111">
      <c r="A111" s="3" t="n">
        <v>46367</v>
      </c>
      <c r="B111" s="2" t="inlineStr">
        <is>
          <t>Friday</t>
        </is>
      </c>
      <c r="C111" s="2" t="n">
        <v>0</v>
      </c>
      <c r="D111" s="2" t="n">
        <v>0</v>
      </c>
      <c r="E111" s="2" t="n">
        <v>0</v>
      </c>
      <c r="F111" s="2" t="n">
        <v>9</v>
      </c>
      <c r="G111" s="2" t="b">
        <v>0</v>
      </c>
      <c r="H111" s="2" t="b">
        <v>0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6">
        <f>COUNTIF(G111:M111,TRUE)/7</f>
        <v/>
      </c>
      <c r="O111" s="2" t="n"/>
    </row>
    <row r="112">
      <c r="A112" s="3" t="n">
        <v>46368</v>
      </c>
      <c r="B112" s="2" t="inlineStr">
        <is>
          <t>Saturday</t>
        </is>
      </c>
      <c r="C112" s="2" t="n">
        <v>0</v>
      </c>
      <c r="D112" s="2" t="n">
        <v>0</v>
      </c>
      <c r="E112" s="2" t="n">
        <v>0</v>
      </c>
      <c r="F112" s="2" t="n">
        <v>8</v>
      </c>
      <c r="G112" s="2" t="b">
        <v>0</v>
      </c>
      <c r="H112" s="2" t="b">
        <v>0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6">
        <f>COUNTIF(G112:M112,TRUE)/7</f>
        <v/>
      </c>
      <c r="O112" s="2" t="n"/>
    </row>
    <row r="113">
      <c r="A113" s="7" t="n">
        <v>46369</v>
      </c>
      <c r="B113" s="8" t="inlineStr">
        <is>
          <t>Sunday</t>
        </is>
      </c>
      <c r="C113" s="8" t="n">
        <v>0</v>
      </c>
      <c r="D113" s="8" t="n">
        <v>0</v>
      </c>
      <c r="E113" s="8" t="n">
        <v>0</v>
      </c>
      <c r="F113" s="8" t="n">
        <v>7</v>
      </c>
      <c r="G113" s="8" t="b">
        <v>0</v>
      </c>
      <c r="H113" s="8" t="b">
        <v>0</v>
      </c>
      <c r="I113" s="8" t="b">
        <v>0</v>
      </c>
      <c r="J113" s="8" t="b">
        <v>0</v>
      </c>
      <c r="K113" s="8" t="b">
        <v>0</v>
      </c>
      <c r="L113" s="8" t="b">
        <v>0</v>
      </c>
      <c r="M113" s="8" t="b">
        <v>0</v>
      </c>
      <c r="N113" s="9">
        <f>COUNTIF(G113:M113,TRUE)/7</f>
        <v/>
      </c>
      <c r="O113" s="8" t="n"/>
    </row>
    <row r="114">
      <c r="A114" s="3" t="n">
        <v>46370</v>
      </c>
      <c r="B114" s="2" t="inlineStr">
        <is>
          <t>Monday</t>
        </is>
      </c>
      <c r="C114" s="2" t="n">
        <v>0</v>
      </c>
      <c r="D114" s="2" t="n">
        <v>0</v>
      </c>
      <c r="E114" s="2" t="n">
        <v>0</v>
      </c>
      <c r="F114" s="2" t="n">
        <v>6</v>
      </c>
      <c r="G114" s="2" t="b">
        <v>0</v>
      </c>
      <c r="H114" s="2" t="b">
        <v>0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6">
        <f>COUNTIF(G114:M114,TRUE)/7</f>
        <v/>
      </c>
      <c r="O114" s="2" t="n"/>
    </row>
    <row r="115">
      <c r="A115" s="3" t="n">
        <v>46371</v>
      </c>
      <c r="B115" s="2" t="inlineStr">
        <is>
          <t>Tuesday</t>
        </is>
      </c>
      <c r="C115" s="2" t="n">
        <v>0</v>
      </c>
      <c r="D115" s="2" t="n">
        <v>0</v>
      </c>
      <c r="E115" s="2" t="n">
        <v>0</v>
      </c>
      <c r="F115" s="2" t="n">
        <v>5</v>
      </c>
      <c r="G115" s="2" t="b">
        <v>0</v>
      </c>
      <c r="H115" s="2" t="b">
        <v>0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6">
        <f>COUNTIF(G115:M115,TRUE)/7</f>
        <v/>
      </c>
      <c r="O115" s="2" t="n"/>
    </row>
    <row r="116">
      <c r="A116" s="3" t="n">
        <v>46372</v>
      </c>
      <c r="B116" s="2" t="inlineStr">
        <is>
          <t>Wednesday</t>
        </is>
      </c>
      <c r="C116" s="2" t="n">
        <v>0</v>
      </c>
      <c r="D116" s="2" t="n">
        <v>0</v>
      </c>
      <c r="E116" s="2" t="n">
        <v>0</v>
      </c>
      <c r="F116" s="2" t="n">
        <v>4</v>
      </c>
      <c r="G116" s="2" t="b">
        <v>0</v>
      </c>
      <c r="H116" s="2" t="b">
        <v>0</v>
      </c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6">
        <f>COUNTIF(G116:M116,TRUE)/7</f>
        <v/>
      </c>
      <c r="O116" s="2" t="n"/>
    </row>
    <row r="117">
      <c r="A117" s="3" t="n">
        <v>46373</v>
      </c>
      <c r="B117" s="2" t="inlineStr">
        <is>
          <t>Thursday</t>
        </is>
      </c>
      <c r="C117" s="2" t="n">
        <v>0</v>
      </c>
      <c r="D117" s="2" t="n">
        <v>0</v>
      </c>
      <c r="E117" s="2" t="n">
        <v>0</v>
      </c>
      <c r="F117" s="2" t="n">
        <v>3</v>
      </c>
      <c r="G117" s="2" t="b">
        <v>0</v>
      </c>
      <c r="H117" s="2" t="b">
        <v>0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6">
        <f>COUNTIF(G117:M117,TRUE)/7</f>
        <v/>
      </c>
      <c r="O117" s="2" t="n"/>
    </row>
    <row r="118">
      <c r="A118" s="3" t="n">
        <v>46374</v>
      </c>
      <c r="B118" s="2" t="inlineStr">
        <is>
          <t>Friday</t>
        </is>
      </c>
      <c r="C118" s="2" t="n">
        <v>0</v>
      </c>
      <c r="D118" s="2" t="n">
        <v>0</v>
      </c>
      <c r="E118" s="2" t="n">
        <v>0</v>
      </c>
      <c r="F118" s="2" t="n">
        <v>2</v>
      </c>
      <c r="G118" s="2" t="b">
        <v>0</v>
      </c>
      <c r="H118" s="2" t="b">
        <v>0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6">
        <f>COUNTIF(G118:M118,TRUE)/7</f>
        <v/>
      </c>
      <c r="O118" s="2" t="n"/>
    </row>
    <row r="119">
      <c r="A119" s="3" t="n">
        <v>46375</v>
      </c>
      <c r="B119" s="2" t="inlineStr">
        <is>
          <t>Saturday</t>
        </is>
      </c>
      <c r="C119" s="2" t="n">
        <v>0</v>
      </c>
      <c r="D119" s="2" t="n">
        <v>0</v>
      </c>
      <c r="E119" s="2" t="n">
        <v>0</v>
      </c>
      <c r="F119" s="2" t="n">
        <v>1</v>
      </c>
      <c r="G119" s="2" t="b">
        <v>0</v>
      </c>
      <c r="H119" s="2" t="b">
        <v>0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6">
        <f>COUNTIF(G119:M119,TRUE)/7</f>
        <v/>
      </c>
      <c r="O119" s="2" t="n"/>
    </row>
    <row r="120">
      <c r="A120" s="7" t="n">
        <v>46376</v>
      </c>
      <c r="B120" s="8" t="inlineStr">
        <is>
          <t>Sunday</t>
        </is>
      </c>
      <c r="C120" s="8" t="n">
        <v>0</v>
      </c>
      <c r="D120" s="8" t="n">
        <v>0</v>
      </c>
      <c r="E120" s="8" t="n">
        <v>0</v>
      </c>
      <c r="F120" s="8" t="n">
        <v>0</v>
      </c>
      <c r="G120" s="8" t="b">
        <v>0</v>
      </c>
      <c r="H120" s="8" t="b">
        <v>0</v>
      </c>
      <c r="I120" s="8" t="b">
        <v>0</v>
      </c>
      <c r="J120" s="8" t="b">
        <v>0</v>
      </c>
      <c r="K120" s="8" t="b">
        <v>0</v>
      </c>
      <c r="L120" s="8" t="b">
        <v>0</v>
      </c>
      <c r="M120" s="8" t="b">
        <v>0</v>
      </c>
      <c r="N120" s="9">
        <f>COUNTIF(G120:M120,TRUE)/7</f>
        <v/>
      </c>
      <c r="O120" s="8" t="n"/>
    </row>
  </sheetData>
  <autoFilter ref="A1:O120"/>
  <conditionalFormatting sqref="G2:G120">
    <cfRule type="cellIs" priority="1" operator="equal" dxfId="0">
      <formula>TRUE</formula>
    </cfRule>
    <cfRule type="cellIs" priority="2" operator="equal" dxfId="1">
      <formula>FALSE</formula>
    </cfRule>
  </conditionalFormatting>
  <conditionalFormatting sqref="H2:H120">
    <cfRule type="cellIs" priority="3" operator="equal" dxfId="0">
      <formula>TRUE</formula>
    </cfRule>
    <cfRule type="cellIs" priority="4" operator="equal" dxfId="1">
      <formula>FALSE</formula>
    </cfRule>
  </conditionalFormatting>
  <conditionalFormatting sqref="I2:I120">
    <cfRule type="cellIs" priority="5" operator="equal" dxfId="0">
      <formula>TRUE</formula>
    </cfRule>
    <cfRule type="cellIs" priority="6" operator="equal" dxfId="1">
      <formula>FALSE</formula>
    </cfRule>
  </conditionalFormatting>
  <conditionalFormatting sqref="J2:J120">
    <cfRule type="cellIs" priority="7" operator="equal" dxfId="0">
      <formula>TRUE</formula>
    </cfRule>
    <cfRule type="cellIs" priority="8" operator="equal" dxfId="1">
      <formula>FALSE</formula>
    </cfRule>
  </conditionalFormatting>
  <conditionalFormatting sqref="K2:K120">
    <cfRule type="cellIs" priority="9" operator="equal" dxfId="0">
      <formula>TRUE</formula>
    </cfRule>
    <cfRule type="cellIs" priority="10" operator="equal" dxfId="1">
      <formula>FALSE</formula>
    </cfRule>
  </conditionalFormatting>
  <conditionalFormatting sqref="L2:L120">
    <cfRule type="cellIs" priority="11" operator="equal" dxfId="0">
      <formula>TRUE</formula>
    </cfRule>
    <cfRule type="cellIs" priority="12" operator="equal" dxfId="1">
      <formula>FALSE</formula>
    </cfRule>
  </conditionalFormatting>
  <conditionalFormatting sqref="M2:M120">
    <cfRule type="cellIs" priority="13" operator="equal" dxfId="0">
      <formula>TRUE</formula>
    </cfRule>
    <cfRule type="cellIs" priority="14" operator="equal" dxfId="1">
      <formula>FALSE</formula>
    </cfRule>
  </conditionalFormatting>
  <dataValidations count="1">
    <dataValidation sqref="G2:M12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2" customWidth="1" min="3" max="3"/>
    <col width="30" customWidth="1" min="4" max="4"/>
    <col width="28" customWidth="1" min="5" max="5"/>
    <col width="35" customWidth="1" min="6" max="6"/>
    <col width="14" customWidth="1" min="7" max="7"/>
  </cols>
  <sheetData>
    <row r="1">
      <c r="A1" s="5" t="inlineStr">
        <is>
          <t>Week</t>
        </is>
      </c>
      <c r="B1" s="5" t="inlineStr">
        <is>
          <t>Date Range</t>
        </is>
      </c>
      <c r="C1" s="5" t="inlineStr">
        <is>
          <t>SAT Plan</t>
        </is>
      </c>
      <c r="D1" s="5" t="inlineStr">
        <is>
          <t>IELTS Plan</t>
        </is>
      </c>
      <c r="E1" s="5" t="inlineStr">
        <is>
          <t>Project Plan</t>
        </is>
      </c>
      <c r="F1" s="5" t="inlineStr">
        <is>
          <t>Weekly Focus</t>
        </is>
      </c>
      <c r="G1" s="5" t="inlineStr">
        <is>
          <t>Status</t>
        </is>
      </c>
    </row>
    <row r="2">
      <c r="A2" s="2" t="inlineStr">
        <is>
          <t>W1</t>
        </is>
      </c>
      <c r="B2" s="2" t="inlineStr">
        <is>
          <t>Aug 24–30</t>
        </is>
      </c>
      <c r="C2" s="2" t="inlineStr">
        <is>
          <t>Math 2h/day + R&amp;W 1.5h/day; Sunday full mock</t>
        </is>
      </c>
      <c r="D2" s="2" t="inlineStr">
        <is>
          <t>Daily 2.5h; Sunday full mock</t>
        </is>
      </c>
      <c r="E2" s="2" t="inlineStr">
        <is>
          <t>2h weekdays; 4h Sunday</t>
        </is>
      </c>
      <c r="F2" s="2" t="inlineStr">
        <is>
          <t>Set baseline; establish routine</t>
        </is>
      </c>
      <c r="G2" s="2" t="inlineStr">
        <is>
          <t>Planned</t>
        </is>
      </c>
    </row>
    <row r="3">
      <c r="A3" s="2" t="inlineStr">
        <is>
          <t>W2</t>
        </is>
      </c>
      <c r="B3" s="2" t="inlineStr">
        <is>
          <t>Aug 31–Sep 6</t>
        </is>
      </c>
      <c r="C3" s="2" t="inlineStr">
        <is>
          <t>Same</t>
        </is>
      </c>
      <c r="D3" s="2" t="inlineStr">
        <is>
          <t>Same</t>
        </is>
      </c>
      <c r="E3" s="2" t="inlineStr">
        <is>
          <t>Same</t>
        </is>
      </c>
      <c r="F3" s="2" t="inlineStr">
        <is>
          <t>Weak-topic correction</t>
        </is>
      </c>
      <c r="G3" s="2" t="inlineStr">
        <is>
          <t>Planned</t>
        </is>
      </c>
    </row>
    <row r="4">
      <c r="A4" s="2" t="inlineStr">
        <is>
          <t>W3</t>
        </is>
      </c>
      <c r="B4" s="2" t="inlineStr">
        <is>
          <t>Sep 7–13</t>
        </is>
      </c>
      <c r="C4" s="2" t="inlineStr">
        <is>
          <t>Same</t>
        </is>
      </c>
      <c r="D4" s="2" t="inlineStr">
        <is>
          <t>Same</t>
        </is>
      </c>
      <c r="E4" s="2" t="inlineStr">
        <is>
          <t>Same</t>
        </is>
      </c>
      <c r="F4" s="2" t="inlineStr">
        <is>
          <t>SAT/IELTS timed work</t>
        </is>
      </c>
      <c r="G4" s="2" t="inlineStr">
        <is>
          <t>Planned</t>
        </is>
      </c>
    </row>
    <row r="5">
      <c r="A5" s="2" t="inlineStr">
        <is>
          <t>W4</t>
        </is>
      </c>
      <c r="B5" s="2" t="inlineStr">
        <is>
          <t>Sep 14–20</t>
        </is>
      </c>
      <c r="C5" s="2" t="inlineStr">
        <is>
          <t>Same</t>
        </is>
      </c>
      <c r="D5" s="2" t="inlineStr">
        <is>
          <t>Same</t>
        </is>
      </c>
      <c r="E5" s="2" t="inlineStr">
        <is>
          <t>Same</t>
        </is>
      </c>
      <c r="F5" s="2" t="inlineStr">
        <is>
          <t>Monthly mock + error review</t>
        </is>
      </c>
      <c r="G5" s="2" t="inlineStr">
        <is>
          <t>Planned</t>
        </is>
      </c>
    </row>
    <row r="6">
      <c r="A6" s="2" t="inlineStr">
        <is>
          <t>W5</t>
        </is>
      </c>
      <c r="B6" s="2" t="inlineStr">
        <is>
          <t>Sep 21–27</t>
        </is>
      </c>
      <c r="C6" s="2" t="inlineStr">
        <is>
          <t>Same</t>
        </is>
      </c>
      <c r="D6" s="2" t="inlineStr">
        <is>
          <t>Same</t>
        </is>
      </c>
      <c r="E6" s="2" t="inlineStr">
        <is>
          <t>Same</t>
        </is>
      </c>
      <c r="F6" s="2" t="inlineStr">
        <is>
          <t>Project production hardening</t>
        </is>
      </c>
      <c r="G6" s="2" t="inlineStr">
        <is>
          <t>Planned</t>
        </is>
      </c>
    </row>
    <row r="7">
      <c r="A7" s="2" t="inlineStr">
        <is>
          <t>W6</t>
        </is>
      </c>
      <c r="B7" s="2" t="inlineStr">
        <is>
          <t>Sep 28–Oct 4</t>
        </is>
      </c>
      <c r="C7" s="2" t="inlineStr">
        <is>
          <t>Same</t>
        </is>
      </c>
      <c r="D7" s="2" t="inlineStr">
        <is>
          <t>Same</t>
        </is>
      </c>
      <c r="E7" s="2" t="inlineStr">
        <is>
          <t>Same</t>
        </is>
      </c>
      <c r="F7" s="2" t="inlineStr">
        <is>
          <t>Project + test accuracy</t>
        </is>
      </c>
      <c r="G7" s="2" t="inlineStr">
        <is>
          <t>Planned</t>
        </is>
      </c>
    </row>
    <row r="8">
      <c r="A8" s="2" t="inlineStr">
        <is>
          <t>W7</t>
        </is>
      </c>
      <c r="B8" s="2" t="inlineStr">
        <is>
          <t>Oct 5–11</t>
        </is>
      </c>
      <c r="C8" s="2" t="inlineStr">
        <is>
          <t>Same</t>
        </is>
      </c>
      <c r="D8" s="2" t="inlineStr">
        <is>
          <t>Same</t>
        </is>
      </c>
      <c r="E8" s="2" t="inlineStr">
        <is>
          <t>Same</t>
        </is>
      </c>
      <c r="F8" s="2" t="inlineStr">
        <is>
          <t>IELTS band push</t>
        </is>
      </c>
      <c r="G8" s="2" t="inlineStr">
        <is>
          <t>Planned</t>
        </is>
      </c>
    </row>
    <row r="9">
      <c r="A9" s="2" t="inlineStr">
        <is>
          <t>W8</t>
        </is>
      </c>
      <c r="B9" s="2" t="inlineStr">
        <is>
          <t>Oct 12–18</t>
        </is>
      </c>
      <c r="C9" s="2" t="inlineStr">
        <is>
          <t>Same</t>
        </is>
      </c>
      <c r="D9" s="2" t="inlineStr">
        <is>
          <t>Same</t>
        </is>
      </c>
      <c r="E9" s="2" t="inlineStr">
        <is>
          <t>Same</t>
        </is>
      </c>
      <c r="F9" s="2" t="inlineStr">
        <is>
          <t>SAT math coverage</t>
        </is>
      </c>
      <c r="G9" s="2" t="inlineStr">
        <is>
          <t>Planned</t>
        </is>
      </c>
    </row>
    <row r="10">
      <c r="A10" s="2" t="inlineStr">
        <is>
          <t>W9</t>
        </is>
      </c>
      <c r="B10" s="2" t="inlineStr">
        <is>
          <t>Oct 19–25</t>
        </is>
      </c>
      <c r="C10" s="2" t="inlineStr">
        <is>
          <t>Same</t>
        </is>
      </c>
      <c r="D10" s="2" t="inlineStr">
        <is>
          <t>Same</t>
        </is>
      </c>
      <c r="E10" s="2" t="inlineStr">
        <is>
          <t>Same</t>
        </is>
      </c>
      <c r="F10" s="2" t="inlineStr">
        <is>
          <t>Project beta readiness</t>
        </is>
      </c>
      <c r="G10" s="2" t="inlineStr">
        <is>
          <t>Planned</t>
        </is>
      </c>
    </row>
    <row r="11">
      <c r="A11" s="2" t="inlineStr">
        <is>
          <t>W10</t>
        </is>
      </c>
      <c r="B11" s="2" t="inlineStr">
        <is>
          <t>Oct 26–Nov 1</t>
        </is>
      </c>
      <c r="C11" s="2" t="inlineStr">
        <is>
          <t>Same</t>
        </is>
      </c>
      <c r="D11" s="2" t="inlineStr">
        <is>
          <t>Same</t>
        </is>
      </c>
      <c r="E11" s="2" t="inlineStr">
        <is>
          <t>Same</t>
        </is>
      </c>
      <c r="F11" s="2" t="inlineStr">
        <is>
          <t>Project test-ready by Nov 1</t>
        </is>
      </c>
      <c r="G11" s="2" t="inlineStr">
        <is>
          <t>Planned</t>
        </is>
      </c>
    </row>
    <row r="12">
      <c r="A12" s="2" t="inlineStr">
        <is>
          <t>W11</t>
        </is>
      </c>
      <c r="B12" s="2" t="inlineStr">
        <is>
          <t>Nov 2–8</t>
        </is>
      </c>
      <c r="C12" s="2" t="inlineStr">
        <is>
          <t>Same</t>
        </is>
      </c>
      <c r="D12" s="2" t="inlineStr">
        <is>
          <t>IELTS final week; reduce new material</t>
        </is>
      </c>
      <c r="E12" s="2" t="inlineStr">
        <is>
          <t>Project maintenance/testing</t>
        </is>
      </c>
      <c r="F12" s="2" t="inlineStr">
        <is>
          <t>IELTS exam Nov 8</t>
        </is>
      </c>
      <c r="G12" s="2" t="inlineStr">
        <is>
          <t>Planned</t>
        </is>
      </c>
    </row>
    <row r="13">
      <c r="A13" s="2" t="inlineStr">
        <is>
          <t>W12</t>
        </is>
      </c>
      <c r="B13" s="2" t="inlineStr">
        <is>
          <t>Nov 9–15</t>
        </is>
      </c>
      <c r="C13" s="2" t="inlineStr">
        <is>
          <t>SAT focus</t>
        </is>
      </c>
      <c r="D13" s="2" t="inlineStr">
        <is>
          <t>IELTS recovery/light maintenance</t>
        </is>
      </c>
      <c r="E13" s="2" t="inlineStr">
        <is>
          <t>2h weekdays; 4h Sunday</t>
        </is>
      </c>
      <c r="F13" s="2" t="inlineStr">
        <is>
          <t>SAT intensity increase</t>
        </is>
      </c>
      <c r="G13" s="2" t="inlineStr">
        <is>
          <t>Planned</t>
        </is>
      </c>
    </row>
    <row r="14">
      <c r="A14" s="2" t="inlineStr">
        <is>
          <t>W13</t>
        </is>
      </c>
      <c r="B14" s="2" t="inlineStr">
        <is>
          <t>Nov 16–22</t>
        </is>
      </c>
      <c r="C14" s="2" t="inlineStr">
        <is>
          <t>SAT focus + mock</t>
        </is>
      </c>
      <c r="D14" s="2" t="inlineStr">
        <is>
          <t>Light maintenance</t>
        </is>
      </c>
      <c r="E14" s="2" t="inlineStr">
        <is>
          <t>Project user/restaurant acquisition</t>
        </is>
      </c>
      <c r="F14" s="2" t="inlineStr">
        <is>
          <t>SAT timing + careless errors</t>
        </is>
      </c>
      <c r="G14" s="2" t="inlineStr">
        <is>
          <t>Planned</t>
        </is>
      </c>
    </row>
    <row r="15">
      <c r="A15" s="2" t="inlineStr">
        <is>
          <t>W14</t>
        </is>
      </c>
      <c r="B15" s="2" t="inlineStr">
        <is>
          <t>Nov 23–29</t>
        </is>
      </c>
      <c r="C15" s="2" t="inlineStr">
        <is>
          <t>SAT focus + mock</t>
        </is>
      </c>
      <c r="D15" s="2" t="inlineStr">
        <is>
          <t>Light maintenance</t>
        </is>
      </c>
      <c r="E15" s="2" t="inlineStr">
        <is>
          <t>Project growth/metrics</t>
        </is>
      </c>
      <c r="F15" s="2" t="inlineStr">
        <is>
          <t>SAT final preparation</t>
        </is>
      </c>
      <c r="G15" s="2" t="inlineStr">
        <is>
          <t>Planned</t>
        </is>
      </c>
    </row>
    <row r="16">
      <c r="A16" s="2" t="inlineStr">
        <is>
          <t>W15</t>
        </is>
      </c>
      <c r="B16" s="2" t="inlineStr">
        <is>
          <t>Nov 30–Dec 6</t>
        </is>
      </c>
      <c r="C16" s="2" t="inlineStr">
        <is>
          <t>SAT final + exam Dec 5</t>
        </is>
      </c>
      <c r="D16" s="2" t="inlineStr">
        <is>
          <t>Light</t>
        </is>
      </c>
      <c r="E16" s="2" t="inlineStr">
        <is>
          <t>Project maintenance</t>
        </is>
      </c>
      <c r="F16" s="2" t="inlineStr">
        <is>
          <t>SAT exam Dec 5</t>
        </is>
      </c>
      <c r="G16" s="2" t="inlineStr">
        <is>
          <t>Planned</t>
        </is>
      </c>
    </row>
    <row r="17">
      <c r="A17" s="2" t="inlineStr">
        <is>
          <t>W16</t>
        </is>
      </c>
      <c r="B17" s="2" t="inlineStr">
        <is>
          <t>Dec 7–13</t>
        </is>
      </c>
      <c r="C17" s="2" t="inlineStr">
        <is>
          <t>Post-exam</t>
        </is>
      </c>
      <c r="D17" s="2" t="inlineStr">
        <is>
          <t>Light</t>
        </is>
      </c>
      <c r="E17" s="2" t="inlineStr">
        <is>
          <t>Project growth</t>
        </is>
      </c>
      <c r="F17" s="2" t="inlineStr">
        <is>
          <t>Users/restaurants/bookings</t>
        </is>
      </c>
      <c r="G17" s="2" t="inlineStr">
        <is>
          <t>Planned</t>
        </is>
      </c>
    </row>
    <row r="18">
      <c r="A18" s="2" t="inlineStr">
        <is>
          <t>W17</t>
        </is>
      </c>
      <c r="B18" s="2" t="inlineStr">
        <is>
          <t>Dec 14–20</t>
        </is>
      </c>
      <c r="C18" s="2" t="inlineStr">
        <is>
          <t>Post-exam</t>
        </is>
      </c>
      <c r="D18" s="2" t="inlineStr">
        <is>
          <t>Light</t>
        </is>
      </c>
      <c r="E18" s="2" t="inlineStr">
        <is>
          <t>Project growth + reporting</t>
        </is>
      </c>
      <c r="F18" s="2" t="inlineStr">
        <is>
          <t>Dec 20 traction target</t>
        </is>
      </c>
      <c r="G18" s="2" t="inlineStr">
        <is>
          <t>Planned</t>
        </is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5" t="inlineStr">
        <is>
          <t>Month</t>
        </is>
      </c>
      <c r="B1" s="5" t="inlineStr">
        <is>
          <t>SAT Full Mock</t>
        </is>
      </c>
      <c r="C1" s="5" t="inlineStr">
        <is>
          <t>IELTS Full Mock</t>
        </is>
      </c>
      <c r="D1" s="5" t="inlineStr">
        <is>
          <t>SAT Mock Score</t>
        </is>
      </c>
      <c r="E1" s="5" t="inlineStr">
        <is>
          <t>IELTS Mock Score</t>
        </is>
      </c>
      <c r="F1" s="5" t="inlineStr">
        <is>
          <t>Error Analysis Done</t>
        </is>
      </c>
      <c r="G1" s="5" t="inlineStr">
        <is>
          <t>Notes</t>
        </is>
      </c>
    </row>
    <row r="2">
      <c r="A2" s="2" t="inlineStr">
        <is>
          <t>August</t>
        </is>
      </c>
      <c r="B2" s="2" t="b">
        <v>0</v>
      </c>
      <c r="C2" s="2" t="b">
        <v>0</v>
      </c>
      <c r="D2" s="2" t="inlineStr"/>
      <c r="E2" s="2" t="inlineStr"/>
      <c r="F2" s="2" t="b">
        <v>0</v>
      </c>
      <c r="G2" s="2" t="n"/>
    </row>
    <row r="3">
      <c r="A3" s="2" t="inlineStr">
        <is>
          <t>September</t>
        </is>
      </c>
      <c r="B3" s="2" t="b">
        <v>0</v>
      </c>
      <c r="C3" s="2" t="b">
        <v>0</v>
      </c>
      <c r="D3" s="2" t="inlineStr"/>
      <c r="E3" s="2" t="inlineStr"/>
      <c r="F3" s="2" t="b">
        <v>0</v>
      </c>
      <c r="G3" s="2" t="n"/>
    </row>
    <row r="4">
      <c r="A4" s="2" t="inlineStr">
        <is>
          <t>October</t>
        </is>
      </c>
      <c r="B4" s="2" t="b">
        <v>0</v>
      </c>
      <c r="C4" s="2" t="b">
        <v>0</v>
      </c>
      <c r="D4" s="2" t="inlineStr"/>
      <c r="E4" s="2" t="inlineStr"/>
      <c r="F4" s="2" t="b">
        <v>0</v>
      </c>
      <c r="G4" s="2" t="n"/>
    </row>
    <row r="5">
      <c r="A5" s="2" t="inlineStr">
        <is>
          <t>November</t>
        </is>
      </c>
      <c r="B5" s="2" t="b">
        <v>0</v>
      </c>
      <c r="C5" s="2" t="b">
        <v>0</v>
      </c>
      <c r="D5" s="2" t="inlineStr"/>
      <c r="E5" s="2" t="inlineStr"/>
      <c r="F5" s="2" t="b">
        <v>0</v>
      </c>
      <c r="G5" s="2" t="n"/>
    </row>
    <row r="6">
      <c r="A6" s="2" t="inlineStr">
        <is>
          <t>December</t>
        </is>
      </c>
      <c r="B6" s="2" t="b">
        <v>0</v>
      </c>
      <c r="C6" s="2" t="b">
        <v>0</v>
      </c>
      <c r="D6" s="2" t="inlineStr"/>
      <c r="E6" s="2" t="inlineStr"/>
      <c r="F6" s="2" t="b">
        <v>0</v>
      </c>
      <c r="G6" s="2" t="n"/>
    </row>
  </sheetData>
  <autoFilter ref="A1:G6"/>
  <dataValidations count="1">
    <dataValidation sqref="B2:C6 F2:F6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6" customWidth="1" min="4" max="4"/>
    <col width="35" customWidth="1" min="5" max="5"/>
  </cols>
  <sheetData>
    <row r="1">
      <c r="A1" s="5" t="inlineStr">
        <is>
          <t>Goal</t>
        </is>
      </c>
      <c r="B1" s="5" t="inlineStr">
        <is>
          <t>Deadline</t>
        </is>
      </c>
      <c r="C1" s="5" t="inlineStr">
        <is>
          <t>Days Remaining</t>
        </is>
      </c>
      <c r="D1" s="5" t="inlineStr">
        <is>
          <t>Status</t>
        </is>
      </c>
      <c r="E1" s="5" t="inlineStr">
        <is>
          <t>Target</t>
        </is>
      </c>
    </row>
    <row r="2">
      <c r="A2" s="2" t="inlineStr">
        <is>
          <t>IELTS Real Exam</t>
        </is>
      </c>
      <c r="B2" s="3" t="n">
        <v>46334</v>
      </c>
      <c r="C2" s="2">
        <f>MAX(0,B2-TODAY())</f>
        <v/>
      </c>
      <c r="D2" s="2" t="inlineStr">
        <is>
          <t>Not started</t>
        </is>
      </c>
      <c r="E2" s="2" t="inlineStr">
        <is>
          <t>Overall 8.0; each section 7.0+</t>
        </is>
      </c>
    </row>
    <row r="3">
      <c r="A3" s="2" t="inlineStr">
        <is>
          <t>OLDINDAN Project Test-Ready</t>
        </is>
      </c>
      <c r="B3" s="3" t="n">
        <v>46327</v>
      </c>
      <c r="C3" s="2">
        <f>MAX(0,B3-TODAY())</f>
        <v/>
      </c>
      <c r="D3" s="2" t="inlineStr">
        <is>
          <t>Not started</t>
        </is>
      </c>
      <c r="E3" s="2" t="inlineStr">
        <is>
          <t>MVP tested and ready</t>
        </is>
      </c>
    </row>
    <row r="4">
      <c r="A4" s="2" t="inlineStr">
        <is>
          <t>SAT Real Exam</t>
        </is>
      </c>
      <c r="B4" s="3" t="n">
        <v>46361</v>
      </c>
      <c r="C4" s="2">
        <f>MAX(0,B4-TODAY())</f>
        <v/>
      </c>
      <c r="D4" s="2" t="inlineStr">
        <is>
          <t>Not started</t>
        </is>
      </c>
      <c r="E4" s="2" t="inlineStr">
        <is>
          <t>1500+</t>
        </is>
      </c>
    </row>
    <row r="5">
      <c r="A5" s="2" t="inlineStr">
        <is>
          <t>OLDINDAN Traction Target</t>
        </is>
      </c>
      <c r="B5" s="3" t="n">
        <v>46376</v>
      </c>
      <c r="C5" s="2">
        <f>MAX(0,B5-TODAY())</f>
        <v/>
      </c>
      <c r="D5" s="2" t="inlineStr">
        <is>
          <t>Not started</t>
        </is>
      </c>
      <c r="E5" s="2" t="inlineStr">
        <is>
          <t>Defined user + restaurant + booking target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2026-08-22T23:03:45Z</dcterms:created>
  <dcterms:modified xmlns:dcterms="http://purl.org/dc/terms/" xmlns:xsi="http://www.w3.org/2001/XMLSchema-instance" xsi:type="dcterms:W3CDTF">2026-08-22T23:03:46Z</dcterms:modified>
</cp:coreProperties>
</file>