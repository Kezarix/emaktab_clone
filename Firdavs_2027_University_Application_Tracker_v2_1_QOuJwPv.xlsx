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272977033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 Tracker" sheetId="1" r:id="R637a6306c82347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e879ea2ba426e" /><Relationship Type="http://schemas.openxmlformats.org/officeDocument/2006/relationships/theme" Target="/xl/theme/theme1.xml" Id="R7bfdc557846b4840" /><Relationship Type="http://schemas.openxmlformats.org/officeDocument/2006/relationships/sharedStrings" Target="/xl/sharedStrings.xml" Id="Rafa1bad5a28942ae" /><Relationship Type="http://schemas.openxmlformats.org/officeDocument/2006/relationships/worksheet" Target="/xl/worksheets/sheet1.xml" Id="R637a6306c8234707" /></Relationships>
</file>

<file path=xl/tables/table1.xml><?xml version="1.0" encoding="utf-8"?>
<x:table xmlns:x="http://schemas.openxmlformats.org/spreadsheetml/2006/main" id="1" name="UniversityApplicationTracker" displayName="UniversityApplicationTracker" ref="A1:K29" headerRowCount="1" totalsRowCount="0" totalsRowShown="0">
  <x:tableColumns count="11">
    <x:tableColumn id="1" name="Universitet nomi"/>
    <x:tableColumn id="2" name="Davlat, shtat / shahar"/>
    <x:tableColumn id="3" name="Target major"/>
    <x:tableColumn id="4" name="QS 2027 global rank"/>
    <x:tableColumn id="5" name="Reach / Target / Safety"/>
    <x:tableColumn id="6" name="Deadline"/>
    <x:tableColumn id="7" name="Safe date (-7 days)"/>
    <x:tableColumn id="8" name="Application round"/>
    <x:tableColumn id="9" name="Status"/>
    <x:tableColumn id="10" name="Source"/>
    <x:tableColumn id="11" name="Advantage (accepted bo‘lgandan key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ce8ced6ff0425b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27" hidden="0" customWidth="1"/>
    <x:col min="4" max="4" width="16" hidden="0" customWidth="1"/>
    <x:col min="5" max="5" width="20" hidden="0" customWidth="1"/>
    <x:col min="6" max="6" width="14" hidden="0" customWidth="1"/>
    <x:col min="7" max="7" width="16" hidden="0" customWidth="1"/>
    <x:col min="8" max="8" width="25" hidden="0" customWidth="1"/>
    <x:col min="9" max="9" width="14" hidden="0" customWidth="1"/>
    <x:col min="10" max="10" width="70" hidden="0" customWidth="1"/>
    <x:col min="11" max="11" width="38" hidden="0" customWidth="1"/>
  </x:cols>
  <x:sheetData>
    <x:row r="1" ht="32" customHeight="1">
      <x:c r="A1" s="6" t="str">
        <x:v>Universitet nomi</x:v>
      </x:c>
      <x:c r="B1" s="6" t="str">
        <x:v>Davlat, shtat / shahar</x:v>
      </x:c>
      <x:c r="C1" s="6" t="str">
        <x:v>Target major</x:v>
      </x:c>
      <x:c r="D1" s="6" t="str">
        <x:v>QS 2027 global rank</x:v>
      </x:c>
      <x:c r="E1" s="6" t="str">
        <x:v>Reach / Target / Safety</x:v>
      </x:c>
      <x:c r="F1" s="6" t="str">
        <x:v>Deadline</x:v>
      </x:c>
      <x:c r="G1" s="6" t="str">
        <x:v>Safe date (-7 days)</x:v>
      </x:c>
      <x:c r="H1" s="6" t="str">
        <x:v>Application round</x:v>
      </x:c>
      <x:c r="I1" s="6" t="str">
        <x:v>Status</x:v>
      </x:c>
      <x:c r="J1" s="6" t="str">
        <x:v>Source</x:v>
      </x:c>
      <x:c r="K1" s="6" t="str">
        <x:v>Advantage (accepted bo‘lgandan keyin)</x:v>
      </x:c>
    </x:row>
    <x:row r="2" ht="42" customHeight="1">
      <x:c r="A2" s="13" t="str">
        <x:v>MIT</x:v>
      </x:c>
      <x:c r="B2" s="13" t="str">
        <x:v>USA, Massachusetts / Cambridge</x:v>
      </x:c>
      <x:c r="C2" s="13" t="str">
        <x:v>Computer Science / EECS</x:v>
      </x:c>
      <x:c r="D2" s="13" t="n">
        <x:v>1</x:v>
      </x:c>
      <x:c r="E2" s="13" t="str">
        <x:v>Reach</x:v>
      </x:c>
      <x:c r="F2" s="16" t="n">
        <x:v>46392</x:v>
      </x:c>
      <x:c r="G2" s="16" t="n">
        <x:f>F2-7</x:f>
        <x:v>46385</x:v>
      </x:c>
      <x:c r="H2" s="13" t="str">
        <x:v>Regular Decision</x:v>
      </x:c>
      <x:c r="I2" s="13" t="str">
        <x:v>not_applied</x:v>
      </x:c>
      <x:c r="J2" s="13" t="str">
        <x:v>https://mitadmissions.org/apply/ | https://www.topuniversities.com/qs-top-uni-wur</x:v>
      </x:c>
      <x:c r="K2" s="13"/>
    </x:row>
    <x:row r="3" ht="42" customHeight="1">
      <x:c r="A3" s="13" t="str">
        <x:v>Stanford University</x:v>
      </x:c>
      <x:c r="B3" s="13" t="str">
        <x:v>USA, California / Stanford</x:v>
      </x:c>
      <x:c r="C3" s="13" t="str">
        <x:v>Computer Science</x:v>
      </x:c>
      <x:c r="D3" s="13" t="n">
        <x:v>2</x:v>
      </x:c>
      <x:c r="E3" s="13" t="str">
        <x:v>Reach</x:v>
      </x:c>
      <x:c r="F3" s="16" t="n">
        <x:v>46392</x:v>
      </x:c>
      <x:c r="G3" s="16" t="n">
        <x:f>F3-7</x:f>
        <x:v>46385</x:v>
      </x:c>
      <x:c r="H3" s="13" t="str">
        <x:v>Regular Decision</x:v>
      </x:c>
      <x:c r="I3" s="13" t="str">
        <x:v>not_applied</x:v>
      </x:c>
      <x:c r="J3" s="13" t="str">
        <x:v>https://admission.stanford.edu/apply/first-year/index.html | https://www.topuniversities.com/qs-top-uni-wur</x:v>
      </x:c>
      <x:c r="K3" s="13"/>
    </x:row>
    <x:row r="4" ht="42" customHeight="1">
      <x:c r="A4" s="13" t="str">
        <x:v>Harvard University</x:v>
      </x:c>
      <x:c r="B4" s="13" t="str">
        <x:v>USA, Massachusetts / Cambridge</x:v>
      </x:c>
      <x:c r="C4" s="13" t="str">
        <x:v>Computer Science</x:v>
      </x:c>
      <x:c r="D4" s="13" t="n">
        <x:v>5</x:v>
      </x:c>
      <x:c r="E4" s="13" t="str">
        <x:v>Reach</x:v>
      </x:c>
      <x:c r="F4" s="16" t="n">
        <x:v>46388</x:v>
      </x:c>
      <x:c r="G4" s="16" t="n">
        <x:f>F4-7</x:f>
        <x:v>46381</x:v>
      </x:c>
      <x:c r="H4" s="13" t="str">
        <x:v>Regular Decision</x:v>
      </x:c>
      <x:c r="I4" s="13" t="str">
        <x:v>not_applied</x:v>
      </x:c>
      <x:c r="J4" s="13" t="str">
        <x:v>https://college.harvard.edu/admissions/apply/first-year-applicants | https://www.topuniversities.com/qs-top-uni-wur</x:v>
      </x:c>
      <x:c r="K4" s="13"/>
    </x:row>
    <x:row r="5" ht="42" customHeight="1">
      <x:c r="A5" s="13" t="str">
        <x:v>Princeton University</x:v>
      </x:c>
      <x:c r="B5" s="13" t="str">
        <x:v>USA, New Jersey / Princeton</x:v>
      </x:c>
      <x:c r="C5" s="13" t="str">
        <x:v>Computer Science</x:v>
      </x:c>
      <x:c r="D5" s="13" t="n">
        <x:v>27</x:v>
      </x:c>
      <x:c r="E5" s="13" t="str">
        <x:v>Reach</x:v>
      </x:c>
      <x:c r="F5" s="16" t="n">
        <x:v>46388</x:v>
      </x:c>
      <x:c r="G5" s="16" t="n">
        <x:f>F5-7</x:f>
        <x:v>46381</x:v>
      </x:c>
      <x:c r="H5" s="13" t="str">
        <x:v>Regular Decision</x:v>
      </x:c>
      <x:c r="I5" s="13" t="str">
        <x:v>not_applied</x:v>
      </x:c>
      <x:c r="J5" s="13" t="str">
        <x:v>https://admission.princeton.edu/apply/first-year-application-dates-deadlines | https://www.topuniversities.com/qs-top-uni-wur</x:v>
      </x:c>
      <x:c r="K5" s="13"/>
    </x:row>
    <x:row r="6" ht="42" customHeight="1">
      <x:c r="A6" s="13" t="str">
        <x:v>Yale University</x:v>
      </x:c>
      <x:c r="B6" s="13" t="str">
        <x:v>USA, Connecticut / New Haven</x:v>
      </x:c>
      <x:c r="C6" s="13" t="str">
        <x:v>Computer Science</x:v>
      </x:c>
      <x:c r="D6" s="13" t="n">
        <x:v>16</x:v>
      </x:c>
      <x:c r="E6" s="13" t="str">
        <x:v>Reach</x:v>
      </x:c>
      <x:c r="F6" s="16" t="n">
        <x:v>46389</x:v>
      </x:c>
      <x:c r="G6" s="16" t="n">
        <x:f>F6-7</x:f>
        <x:v>46382</x:v>
      </x:c>
      <x:c r="H6" s="13" t="str">
        <x:v>Regular Decision</x:v>
      </x:c>
      <x:c r="I6" s="13" t="str">
        <x:v>not_applied</x:v>
      </x:c>
      <x:c r="J6" s="13" t="str">
        <x:v>https://admissions.yale.edu/timelines | https://www.topuniversities.com/qs-top-uni-wur</x:v>
      </x:c>
      <x:c r="K6" s="13"/>
    </x:row>
    <x:row r="7" ht="42" customHeight="1">
      <x:c r="A7" s="13" t="str">
        <x:v>University of Pennsylvania</x:v>
      </x:c>
      <x:c r="B7" s="13" t="str">
        <x:v>USA, Pennsylvania / Philadelphia</x:v>
      </x:c>
      <x:c r="C7" s="13" t="str">
        <x:v>Computer Science</x:v>
      </x:c>
      <x:c r="D7" s="13" t="n">
        <x:v>15</x:v>
      </x:c>
      <x:c r="E7" s="13" t="str">
        <x:v>Reach</x:v>
      </x:c>
      <x:c r="F7" s="16" t="n">
        <x:v>46392</x:v>
      </x:c>
      <x:c r="G7" s="16" t="n">
        <x:f>F7-7</x:f>
        <x:v>46385</x:v>
      </x:c>
      <x:c r="H7" s="13" t="str">
        <x:v>Regular Decision</x:v>
      </x:c>
      <x:c r="I7" s="13" t="str">
        <x:v>not_applied</x:v>
      </x:c>
      <x:c r="J7" s="13" t="str">
        <x:v>https://ask.admissions.upenn.edu/support/solutions/articles/157000361133-what-are-the-deadlines-to-apply-to-penn-as-a-first-year-student- | https://www.topuniversities.com/qs-top-uni-wur</x:v>
      </x:c>
      <x:c r="K7" s="13"/>
    </x:row>
    <x:row r="8" ht="42" customHeight="1">
      <x:c r="A8" s="13" t="str">
        <x:v>Cornell University</x:v>
      </x:c>
      <x:c r="B8" s="13" t="str">
        <x:v>USA, New York / Ithaca</x:v>
      </x:c>
      <x:c r="C8" s="13" t="str">
        <x:v>Computer Science</x:v>
      </x:c>
      <x:c r="D8" s="13" t="n">
        <x:v>16</x:v>
      </x:c>
      <x:c r="E8" s="13" t="str">
        <x:v>Reach</x:v>
      </x:c>
      <x:c r="F8" s="16" t="n">
        <x:v>46389</x:v>
      </x:c>
      <x:c r="G8" s="16" t="n">
        <x:f>F8-7</x:f>
        <x:v>46382</x:v>
      </x:c>
      <x:c r="H8" s="13" t="str">
        <x:v>Regular Decision</x:v>
      </x:c>
      <x:c r="I8" s="13" t="str">
        <x:v>not_applied</x:v>
      </x:c>
      <x:c r="J8" s="13" t="str">
        <x:v>https://admissions.cornell.edu/how-to-apply/first-year-applicants | https://www.topuniversities.com/qs-top-uni-wur</x:v>
      </x:c>
      <x:c r="K8" s="13"/>
    </x:row>
    <x:row r="9" ht="42" customHeight="1">
      <x:c r="A9" s="13" t="str">
        <x:v>Columbia University</x:v>
      </x:c>
      <x:c r="B9" s="13" t="str">
        <x:v>USA, New York / New York City</x:v>
      </x:c>
      <x:c r="C9" s="13" t="str">
        <x:v>Computer Science</x:v>
      </x:c>
      <x:c r="D9" s="13" t="n">
        <x:v>43</x:v>
      </x:c>
      <x:c r="E9" s="13" t="str">
        <x:v>Reach</x:v>
      </x:c>
      <x:c r="F9" s="16" t="n">
        <x:v>46391</x:v>
      </x:c>
      <x:c r="G9" s="16" t="n">
        <x:f>F9-7</x:f>
        <x:v>46384</x:v>
      </x:c>
      <x:c r="H9" s="13" t="str">
        <x:v>Regular Decision</x:v>
      </x:c>
      <x:c r="I9" s="13" t="str">
        <x:v>not_applied</x:v>
      </x:c>
      <x:c r="J9" s="13" t="str">
        <x:v>https://undergrad.admissions.columbia.edu/apply/ | https://www.topuniversities.com/qs-top-uni-wur</x:v>
      </x:c>
      <x:c r="K9" s="13"/>
    </x:row>
    <x:row r="10" ht="42" customHeight="1">
      <x:c r="A10" s="13" t="str">
        <x:v>University of Chicago</x:v>
      </x:c>
      <x:c r="B10" s="13" t="str">
        <x:v>USA, Illinois / Chicago</x:v>
      </x:c>
      <x:c r="C10" s="13" t="str">
        <x:v>Computer Science</x:v>
      </x:c>
      <x:c r="D10" s="13" t="n">
        <x:v>24</x:v>
      </x:c>
      <x:c r="E10" s="13" t="str">
        <x:v>Reach</x:v>
      </x:c>
      <x:c r="F10" s="16" t="n">
        <x:v>46392</x:v>
      </x:c>
      <x:c r="G10" s="16" t="n">
        <x:f>F10-7</x:f>
        <x:v>46385</x:v>
      </x:c>
      <x:c r="H10" s="13" t="str">
        <x:v>Regular Decision</x:v>
      </x:c>
      <x:c r="I10" s="13" t="str">
        <x:v>not_applied</x:v>
      </x:c>
      <x:c r="J10" s="13" t="str">
        <x:v>https://collegeadmissions.uchicago.edu/apply | https://www.topuniversities.com/qs-top-uni-wur</x:v>
      </x:c>
      <x:c r="K10" s="13"/>
    </x:row>
    <x:row r="11" ht="42" customHeight="1">
      <x:c r="A11" s="13" t="str">
        <x:v>Duke University</x:v>
      </x:c>
      <x:c r="B11" s="13" t="str">
        <x:v>USA, North Carolina / Durham</x:v>
      </x:c>
      <x:c r="C11" s="13" t="str">
        <x:v>Computer Science</x:v>
      </x:c>
      <x:c r="D11" s="13" t="n">
        <x:v>70</x:v>
      </x:c>
      <x:c r="E11" s="13" t="str">
        <x:v>Reach</x:v>
      </x:c>
      <x:c r="F11" s="16" t="n">
        <x:v>46391</x:v>
      </x:c>
      <x:c r="G11" s="16" t="n">
        <x:f>F11-7</x:f>
        <x:v>46384</x:v>
      </x:c>
      <x:c r="H11" s="13" t="str">
        <x:v>Regular Decision</x:v>
      </x:c>
      <x:c r="I11" s="13" t="str">
        <x:v>not_applied</x:v>
      </x:c>
      <x:c r="J11" s="13" t="str">
        <x:v>https://admissions.duke.edu/apply/ | https://www.topuniversities.com/qs-top-uni-wur</x:v>
      </x:c>
      <x:c r="K11" s="13"/>
    </x:row>
    <x:row r="12" ht="42" customHeight="1">
      <x:c r="A12" s="13" t="str">
        <x:v>Northwestern University</x:v>
      </x:c>
      <x:c r="B12" s="13" t="str">
        <x:v>USA, Illinois / Evanston</x:v>
      </x:c>
      <x:c r="C12" s="13" t="str">
        <x:v>Computer Science</x:v>
      </x:c>
      <x:c r="D12" s="13" t="n">
        <x:v>45</x:v>
      </x:c>
      <x:c r="E12" s="13" t="str">
        <x:v>Reach</x:v>
      </x:c>
      <x:c r="F12" s="16" t="n">
        <x:v>46391</x:v>
      </x:c>
      <x:c r="G12" s="16" t="n">
        <x:f>F12-7</x:f>
        <x:v>46384</x:v>
      </x:c>
      <x:c r="H12" s="13" t="str">
        <x:v>Regular Decision</x:v>
      </x:c>
      <x:c r="I12" s="13" t="str">
        <x:v>not_applied</x:v>
      </x:c>
      <x:c r="J12" s="13" t="str">
        <x:v>https://admissions.northwestern.edu/apply/application-deadlines.html | https://www.topuniversities.com/qs-top-uni-wur</x:v>
      </x:c>
      <x:c r="K12" s="13"/>
    </x:row>
    <x:row r="13" ht="42" customHeight="1">
      <x:c r="A13" s="13" t="str">
        <x:v>Carnegie Mellon University</x:v>
      </x:c>
      <x:c r="B13" s="13" t="str">
        <x:v>USA, Pennsylvania / Pittsburgh</x:v>
      </x:c>
      <x:c r="C13" s="13" t="str">
        <x:v>Computer Science</x:v>
      </x:c>
      <x:c r="D13" s="13" t="n">
        <x:v>55</x:v>
      </x:c>
      <x:c r="E13" s="13" t="str">
        <x:v>Reach</x:v>
      </x:c>
      <x:c r="F13" s="16" t="n">
        <x:v>46392</x:v>
      </x:c>
      <x:c r="G13" s="16" t="n">
        <x:f>F13-7</x:f>
        <x:v>46385</x:v>
      </x:c>
      <x:c r="H13" s="13" t="str">
        <x:v>Regular Decision</x:v>
      </x:c>
      <x:c r="I13" s="13" t="str">
        <x:v>not_applied</x:v>
      </x:c>
      <x:c r="J13" s="13" t="str">
        <x:v>https://www.cmu.edu/admission/admission/ | https://www.topuniversities.com/qs-top-uni-wur</x:v>
      </x:c>
      <x:c r="K13" s="13"/>
    </x:row>
    <x:row r="14" ht="42" customHeight="1">
      <x:c r="A14" s="13" t="str">
        <x:v>University of California, Berkeley</x:v>
      </x:c>
      <x:c r="B14" s="13" t="str">
        <x:v>USA, California / Berkeley</x:v>
      </x:c>
      <x:c r="C14" s="13" t="str">
        <x:v>Computer Science</x:v>
      </x:c>
      <x:c r="D14" s="13" t="n">
        <x:v>20</x:v>
      </x:c>
      <x:c r="E14" s="13" t="str">
        <x:v>Reach</x:v>
      </x:c>
      <x:c r="F14" s="16" t="n">
        <x:v>46356</x:v>
      </x:c>
      <x:c r="G14" s="16" t="n">
        <x:f>F14-7</x:f>
        <x:v>46349</x:v>
      </x:c>
      <x:c r="H14" s="13" t="str">
        <x:v>Single deadline (UC)</x:v>
      </x:c>
      <x:c r="I14" s="13" t="str">
        <x:v>not_applied</x:v>
      </x:c>
      <x:c r="J14" s="13" t="str">
        <x:v>https://admissions.berkeley.edu/apply-to-berkeley/dates-deadlines/ | https://www.topuniversities.com/qs-top-uni-wur</x:v>
      </x:c>
      <x:c r="K14" s="13"/>
    </x:row>
    <x:row r="15" ht="42" customHeight="1">
      <x:c r="A15" s="13" t="str">
        <x:v>University of California, Los Angeles</x:v>
      </x:c>
      <x:c r="B15" s="13" t="str">
        <x:v>USA, California / Los Angeles</x:v>
      </x:c>
      <x:c r="C15" s="13" t="str">
        <x:v>Computer Science</x:v>
      </x:c>
      <x:c r="D15" s="13" t="n">
        <x:v>49</x:v>
      </x:c>
      <x:c r="E15" s="13" t="str">
        <x:v>Reach</x:v>
      </x:c>
      <x:c r="F15" s="16" t="n">
        <x:v>46356</x:v>
      </x:c>
      <x:c r="G15" s="16" t="n">
        <x:f>F15-7</x:f>
        <x:v>46349</x:v>
      </x:c>
      <x:c r="H15" s="13" t="str">
        <x:v>Single deadline (UC)</x:v>
      </x:c>
      <x:c r="I15" s="13" t="str">
        <x:v>not_applied</x:v>
      </x:c>
      <x:c r="J15" s="13" t="str">
        <x:v>https://admission.ucla.edu/apply | https://www.topuniversities.com/qs-top-uni-wur</x:v>
      </x:c>
      <x:c r="K15" s="13"/>
    </x:row>
    <x:row r="16" ht="42" customHeight="1">
      <x:c r="A16" s="13" t="str">
        <x:v>University of Michigan–Ann Arbor</x:v>
      </x:c>
      <x:c r="B16" s="13" t="str">
        <x:v>USA, Michigan / Ann Arbor</x:v>
      </x:c>
      <x:c r="C16" s="13" t="str">
        <x:v>Computer Science</x:v>
      </x:c>
      <x:c r="D16" s="13" t="n">
        <x:v>51</x:v>
      </x:c>
      <x:c r="E16" s="13" t="str">
        <x:v>Target</x:v>
      </x:c>
      <x:c r="F16" s="16" t="n">
        <x:v>46419</x:v>
      </x:c>
      <x:c r="G16" s="16" t="n">
        <x:f>F16-7</x:f>
        <x:v>46412</x:v>
      </x:c>
      <x:c r="H16" s="13" t="str">
        <x:v>Regular Decision</x:v>
      </x:c>
      <x:c r="I16" s="13" t="str">
        <x:v>not_applied</x:v>
      </x:c>
      <x:c r="J16" s="13" t="str">
        <x:v>https://admissions.umich.edu/apply/first-year-applicants | https://www.topuniversities.com/qs-top-uni-wur</x:v>
      </x:c>
      <x:c r="K16" s="13"/>
    </x:row>
    <x:row r="17" ht="42" customHeight="1">
      <x:c r="A17" s="13" t="str">
        <x:v>University of Illinois Urbana-Champaign</x:v>
      </x:c>
      <x:c r="B17" s="13" t="str">
        <x:v>USA, Illinois / Champaign</x:v>
      </x:c>
      <x:c r="C17" s="13" t="str">
        <x:v>Computer Science</x:v>
      </x:c>
      <x:c r="D17" s="13" t="n">
        <x:v>74</x:v>
      </x:c>
      <x:c r="E17" s="13" t="str">
        <x:v>Target</x:v>
      </x:c>
      <x:c r="F17" s="16" t="n">
        <x:v>46392</x:v>
      </x:c>
      <x:c r="G17" s="16" t="n">
        <x:f>F17-7</x:f>
        <x:v>46385</x:v>
      </x:c>
      <x:c r="H17" s="13" t="str">
        <x:v>Regular Decision</x:v>
      </x:c>
      <x:c r="I17" s="13" t="str">
        <x:v>not_applied</x:v>
      </x:c>
      <x:c r="J17" s="13" t="str">
        <x:v>https://www.admissions.illinois.edu/apply/dates | https://www.topuniversities.com/qs-top-uni-wur</x:v>
      </x:c>
      <x:c r="K17" s="13"/>
    </x:row>
    <x:row r="18" ht="42" customHeight="1">
      <x:c r="A18" s="13" t="str">
        <x:v>Purdue University</x:v>
      </x:c>
      <x:c r="B18" s="13" t="str">
        <x:v>USA, Indiana / West Lafayette</x:v>
      </x:c>
      <x:c r="C18" s="13" t="str">
        <x:v>Computer Science</x:v>
      </x:c>
      <x:c r="D18" s="13" t="n">
        <x:v>100</x:v>
      </x:c>
      <x:c r="E18" s="13" t="str">
        <x:v>Target</x:v>
      </x:c>
      <x:c r="F18" s="16" t="n">
        <x:v>46402</x:v>
      </x:c>
      <x:c r="G18" s="16" t="n">
        <x:f>F18-7</x:f>
        <x:v>46395</x:v>
      </x:c>
      <x:c r="H18" s="13" t="str">
        <x:v>Regular Decision</x:v>
      </x:c>
      <x:c r="I18" s="13" t="str">
        <x:v>not_applied</x:v>
      </x:c>
      <x:c r="J18" s="13" t="str">
        <x:v>https://www.admissions.purdue.edu/apply/ | https://www.topuniversities.com/qs-top-uni-wur</x:v>
      </x:c>
      <x:c r="K18" s="13"/>
    </x:row>
    <x:row r="19" ht="42" customHeight="1">
      <x:c r="A19" s="13" t="str">
        <x:v>University of Toronto</x:v>
      </x:c>
      <x:c r="B19" s="13" t="str">
        <x:v>Canada, Ontario / Toronto</x:v>
      </x:c>
      <x:c r="C19" s="13" t="str">
        <x:v>Computer Science</x:v>
      </x:c>
      <x:c r="D19" s="13" t="n">
        <x:v>32</x:v>
      </x:c>
      <x:c r="E19" s="13" t="str">
        <x:v>Reach</x:v>
      </x:c>
      <x:c r="F19" s="16" t="n">
        <x:v>46402</x:v>
      </x:c>
      <x:c r="G19" s="16" t="n">
        <x:f>F19-7</x:f>
        <x:v>46395</x:v>
      </x:c>
      <x:c r="H19" s="13" t="str">
        <x:v>Main application deadline</x:v>
      </x:c>
      <x:c r="I19" s="13" t="str">
        <x:v>not_applied</x:v>
      </x:c>
      <x:c r="J19" s="13" t="str">
        <x:v>https://future.utoronto.ca/apply/ | https://www.topuniversities.com/qs-top-uni-wur</x:v>
      </x:c>
      <x:c r="K19" s="13"/>
    </x:row>
    <x:row r="20" ht="42" customHeight="1">
      <x:c r="A20" s="13" t="str">
        <x:v>University of British Columbia</x:v>
      </x:c>
      <x:c r="B20" s="13" t="str">
        <x:v>Canada, British Columbia / Vancouver</x:v>
      </x:c>
      <x:c r="C20" s="13" t="str">
        <x:v>Computer Science</x:v>
      </x:c>
      <x:c r="D20" s="13" t="n">
        <x:v>45</x:v>
      </x:c>
      <x:c r="E20" s="13" t="str">
        <x:v>Reach</x:v>
      </x:c>
      <x:c r="F20" s="16" t="n">
        <x:v>46402</x:v>
      </x:c>
      <x:c r="G20" s="16" t="n">
        <x:f>F20-7</x:f>
        <x:v>46395</x:v>
      </x:c>
      <x:c r="H20" s="13" t="str">
        <x:v>Main application deadline</x:v>
      </x:c>
      <x:c r="I20" s="13" t="str">
        <x:v>not_applied</x:v>
      </x:c>
      <x:c r="J20" s="13" t="str">
        <x:v>https://you.ubc.ca/applying-ubc/dates-deadlines/ | https://www.topuniversities.com/qs-top-uni-wur</x:v>
      </x:c>
      <x:c r="K20" s="13"/>
    </x:row>
    <x:row r="21" ht="42" customHeight="1">
      <x:c r="A21" s="13" t="str">
        <x:v>University of Waterloo</x:v>
      </x:c>
      <x:c r="B21" s="13" t="str">
        <x:v>Canada, Ontario / Waterloo</x:v>
      </x:c>
      <x:c r="C21" s="13" t="str">
        <x:v>Computer Science</x:v>
      </x:c>
      <x:c r="D21" s="13" t="n">
        <x:v>113</x:v>
      </x:c>
      <x:c r="E21" s="13" t="str">
        <x:v>Reach</x:v>
      </x:c>
      <x:c r="F21" s="16" t="n">
        <x:v>46419</x:v>
      </x:c>
      <x:c r="G21" s="16" t="n">
        <x:f>F21-7</x:f>
        <x:v>46412</x:v>
      </x:c>
      <x:c r="H21" s="13" t="str">
        <x:v>Main application deadline</x:v>
      </x:c>
      <x:c r="I21" s="13" t="str">
        <x:v>not_applied</x:v>
      </x:c>
      <x:c r="J21" s="13" t="str">
        <x:v>https://uwaterloo.ca/future-students/admissions/deadlines | https://www.topuniversities.com/qs-top-uni-wur</x:v>
      </x:c>
      <x:c r="K21" s="13"/>
    </x:row>
    <x:row r="22" ht="42" customHeight="1">
      <x:c r="A22" s="13" t="str">
        <x:v>Imperial College London</x:v>
      </x:c>
      <x:c r="B22" s="13" t="str">
        <x:v>UK, England / London</x:v>
      </x:c>
      <x:c r="C22" s="13" t="str">
        <x:v>Computing / Software Engineering</x:v>
      </x:c>
      <x:c r="D22" s="13" t="n">
        <x:v>2</x:v>
      </x:c>
      <x:c r="E22" s="13" t="str">
        <x:v>Reach</x:v>
      </x:c>
      <x:c r="F22" s="16" t="n">
        <x:v>46400</x:v>
      </x:c>
      <x:c r="G22" s="16" t="n">
        <x:f>F22-7</x:f>
        <x:v>46393</x:v>
      </x:c>
      <x:c r="H22" s="13" t="str">
        <x:v>UCAS Equal Consideration</x:v>
      </x:c>
      <x:c r="I22" s="13" t="str">
        <x:v>not_applied</x:v>
      </x:c>
      <x:c r="J22" s="13" t="str">
        <x:v>https://www.imperial.ac.uk/study/apply/undergraduate/process/deadlines/ | https://www.topuniversities.com/qs-top-uni-wur</x:v>
      </x:c>
      <x:c r="K22" s="13"/>
    </x:row>
    <x:row r="23" ht="42" customHeight="1">
      <x:c r="A23" s="13" t="str">
        <x:v>UCL</x:v>
      </x:c>
      <x:c r="B23" s="13" t="str">
        <x:v>UK, England / London</x:v>
      </x:c>
      <x:c r="C23" s="13" t="str">
        <x:v>Computer Science</x:v>
      </x:c>
      <x:c r="D23" s="13" t="n">
        <x:v>8</x:v>
      </x:c>
      <x:c r="E23" s="13" t="str">
        <x:v>Reach</x:v>
      </x:c>
      <x:c r="F23" s="16" t="n">
        <x:v>46400</x:v>
      </x:c>
      <x:c r="G23" s="16" t="n">
        <x:f>F23-7</x:f>
        <x:v>46393</x:v>
      </x:c>
      <x:c r="H23" s="13" t="str">
        <x:v>UCAS Equal Consideration</x:v>
      </x:c>
      <x:c r="I23" s="13" t="str">
        <x:v>not_applied</x:v>
      </x:c>
      <x:c r="J23" s="13" t="str">
        <x:v>https://www.ucl.ac.uk/study/prospective-students/undergraduate/courses | https://www.topuniversities.com/qs-top-uni-wur</x:v>
      </x:c>
      <x:c r="K23" s="13"/>
    </x:row>
    <x:row r="24" ht="42" customHeight="1">
      <x:c r="A24" s="13" t="str">
        <x:v>ETH Zurich</x:v>
      </x:c>
      <x:c r="B24" s="13" t="str">
        <x:v>Switzerland, Zurich</x:v>
      </x:c>
      <x:c r="C24" s="13" t="str">
        <x:v>Computer Science</x:v>
      </x:c>
      <x:c r="D24" s="13" t="n">
        <x:v>8</x:v>
      </x:c>
      <x:c r="E24" s="13" t="str">
        <x:v>Reach</x:v>
      </x:c>
      <x:c r="F24" s="16" t="n">
        <x:v>46477</x:v>
      </x:c>
      <x:c r="G24" s="16" t="n">
        <x:f>F24-7</x:f>
        <x:v>46470</x:v>
      </x:c>
      <x:c r="H24" s="13" t="str">
        <x:v>Main application period</x:v>
      </x:c>
      <x:c r="I24" s="13" t="str">
        <x:v>not_applied</x:v>
      </x:c>
      <x:c r="J24" s="13" t="str">
        <x:v>https://ethz.ch/en/studies/bachelor/application/non-swiss-matriculation-certificate/dates.leftnav.html | https://www.topuniversities.com/qs-top-uni-wur</x:v>
      </x:c>
      <x:c r="K24" s="13"/>
    </x:row>
    <x:row r="25" ht="42" customHeight="1">
      <x:c r="A25" s="13" t="str">
        <x:v>EPFL</x:v>
      </x:c>
      <x:c r="B25" s="13" t="str">
        <x:v>Switzerland, Lausanne</x:v>
      </x:c>
      <x:c r="C25" s="13" t="str">
        <x:v>Computer Science</x:v>
      </x:c>
      <x:c r="D25" s="13" t="n">
        <x:v>22</x:v>
      </x:c>
      <x:c r="E25" s="13" t="str">
        <x:v>Reach</x:v>
      </x:c>
      <x:c r="F25" s="16" t="n">
        <x:v>46507</x:v>
      </x:c>
      <x:c r="G25" s="16" t="n">
        <x:f>F25-7</x:f>
        <x:v>46500</x:v>
      </x:c>
      <x:c r="H25" s="13" t="str">
        <x:v>Main application period</x:v>
      </x:c>
      <x:c r="I25" s="13" t="str">
        <x:v>not_applied</x:v>
      </x:c>
      <x:c r="J25" s="13" t="str">
        <x:v>https://www.epfl.ch/education/admission/admission-2/bachelor-admission-criteria-and-application/how-to-apply/ | https://www.topuniversities.com/qs-top-uni-wur</x:v>
      </x:c>
      <x:c r="K25" s="13"/>
    </x:row>
    <x:row r="26" ht="42" customHeight="1">
      <x:c r="A26" s="13" t="str">
        <x:v>Technical University of Munich (TUM)</x:v>
      </x:c>
      <x:c r="B26" s="13" t="str">
        <x:v>Germany, Bavaria / Munich</x:v>
      </x:c>
      <x:c r="C26" s="13" t="str">
        <x:v>Informatics</x:v>
      </x:c>
      <x:c r="D26" s="13" t="n">
        <x:v>25</x:v>
      </x:c>
      <x:c r="E26" s="13" t="str">
        <x:v>Target</x:v>
      </x:c>
      <x:c r="F26" s="16" t="n">
        <x:v>46583</x:v>
      </x:c>
      <x:c r="G26" s="16" t="n">
        <x:f>F26-7</x:f>
        <x:v>46576</x:v>
      </x:c>
      <x:c r="H26" s="13" t="str">
        <x:v>Winter-semester application</x:v>
      </x:c>
      <x:c r="I26" s="13" t="str">
        <x:v>not_applied</x:v>
      </x:c>
      <x:c r="J26" s="13" t="str">
        <x:v>https://www.tum.de/en/studies/application/applicationinfoportal | https://www.topuniversities.com/qs-top-uni-wur</x:v>
      </x:c>
      <x:c r="K26" s="13"/>
    </x:row>
    <x:row r="27" ht="42" customHeight="1">
      <x:c r="A27" s="13" t="str">
        <x:v>Delft University of Technology</x:v>
      </x:c>
      <x:c r="B27" s="13" t="str">
        <x:v>Netherlands, Delft</x:v>
      </x:c>
      <x:c r="C27" s="13" t="str">
        <x:v>Computer Science &amp; Engineering</x:v>
      </x:c>
      <x:c r="D27" s="13" t="n">
        <x:v>48</x:v>
      </x:c>
      <x:c r="E27" s="13" t="str">
        <x:v>Reach</x:v>
      </x:c>
      <x:c r="F27" s="16" t="n">
        <x:v>46402</x:v>
      </x:c>
      <x:c r="G27" s="16" t="n">
        <x:f>F27-7</x:f>
        <x:v>46395</x:v>
      </x:c>
      <x:c r="H27" s="13" t="str">
        <x:v>Main application deadline</x:v>
      </x:c>
      <x:c r="I27" s="13" t="str">
        <x:v>not_applied</x:v>
      </x:c>
      <x:c r="J27" s="13" t="str">
        <x:v>https://www.tudelft.nl/en/education/programmes/bachelors/computer-science-and-engineering/bsc-computer-science-and-engineering/application-and-admission | https://www.topuniversities.com/qs-top-uni-wur</x:v>
      </x:c>
      <x:c r="K27" s="13"/>
    </x:row>
    <x:row r="28" ht="42" customHeight="1">
      <x:c r="A28" s="13" t="str">
        <x:v>University of Amsterdam</x:v>
      </x:c>
      <x:c r="B28" s="13" t="str">
        <x:v>Netherlands, Amsterdam</x:v>
      </x:c>
      <x:c r="C28" s="13" t="str">
        <x:v>Computer Science</x:v>
      </x:c>
      <x:c r="D28" s="13" t="n">
        <x:v>60</x:v>
      </x:c>
      <x:c r="E28" s="13" t="str">
        <x:v>Target</x:v>
      </x:c>
      <x:c r="F28" s="16" t="n">
        <x:v>46419</x:v>
      </x:c>
      <x:c r="G28" s="16" t="n">
        <x:f>F28-7</x:f>
        <x:v>46412</x:v>
      </x:c>
      <x:c r="H28" s="13" t="str">
        <x:v>Main application deadline</x:v>
      </x:c>
      <x:c r="I28" s="13" t="str">
        <x:v>not_applied</x:v>
      </x:c>
      <x:c r="J28" s="13" t="str">
        <x:v>https://www.uva.nl/en/programmes/bachelors/computer-science/application-and-admission/application-and-admission.html | https://www.topuniversities.com/qs-top-uni-wur</x:v>
      </x:c>
      <x:c r="K28" s="13"/>
    </x:row>
    <x:row r="29" ht="42" customHeight="1">
      <x:c r="A29" s="13" t="str">
        <x:v>KTH Royal Institute of Technology</x:v>
      </x:c>
      <x:c r="B29" s="13" t="str">
        <x:v>Sweden, Stockholm</x:v>
      </x:c>
      <x:c r="C29" s="13" t="str">
        <x:v>Information and Communication Technology</x:v>
      </x:c>
      <x:c r="D29" s="13" t="n">
        <x:v>82</x:v>
      </x:c>
      <x:c r="E29" s="13" t="str">
        <x:v>Target</x:v>
      </x:c>
      <x:c r="F29" s="16" t="n">
        <x:v>46402</x:v>
      </x:c>
      <x:c r="G29" s="16" t="n">
        <x:f>F29-7</x:f>
        <x:v>46395</x:v>
      </x:c>
      <x:c r="H29" s="13" t="str">
        <x:v>Application round 1</x:v>
      </x:c>
      <x:c r="I29" s="13" t="str">
        <x:v>not_applied</x:v>
      </x:c>
      <x:c r="J29" s="13" t="str">
        <x:v>https://www.kth.se/en/studies/bachelor/information-communication-technology/how-to-apply-for-bachelor-s-studies-1.450312 | https://www.topuniversities.com/qs-top-uni-wur</x:v>
      </x:c>
      <x:c r="K29" s="13"/>
    </x:row>
  </x:sheetData>
  <x:conditionalFormatting sqref="E2:E29">
    <x:cfRule type="expression" dxfId="0" priority="1">
      <x:formula>E2="Reach"</x:formula>
    </x:cfRule>
    <x:cfRule type="expression" dxfId="1" priority="2">
      <x:formula>E2="Target"</x:formula>
    </x:cfRule>
    <x:cfRule type="expression" dxfId="2" priority="3">
      <x:formula>E2="Safety"</x:formula>
    </x:cfRule>
  </x:conditionalFormatting>
  <x:conditionalFormatting sqref="I2:I29">
    <x:cfRule type="expression" dxfId="3" priority="4">
      <x:formula>I2="accepted"</x:formula>
    </x:cfRule>
    <x:cfRule type="expression" dxfId="4" priority="5">
      <x:formula>I2="rejected"</x:formula>
    </x:cfRule>
    <x:cfRule type="expression" dxfId="5" priority="6">
      <x:formula>I2="waitlist"</x:formula>
    </x:cfRule>
    <x:cfRule type="expression" dxfId="6" priority="7">
      <x:formula>I2="deffered"</x:formula>
    </x:cfRule>
  </x:conditionalFormatting>
  <x:dataValidations count="2">
    <x:dataValidation type="list" sqref="E2:E29">
      <x:formula1>"Reach,Target,Safety"</x:formula1>
    </x:dataValidation>
    <x:dataValidation type="list" sqref="I2:I29">
      <x:formula1>"not_applied,applied,accepted,deffered,waitlist,rejected"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ce8ced6ff0425b"/>
  </x:tableParts>
</x:worksheet>
</file>